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ocuments\Magistrska_final_run\proteins\macpf\all\"/>
    </mc:Choice>
  </mc:AlternateContent>
  <xr:revisionPtr revIDLastSave="0" documentId="13_ncr:1_{C2D02833-E452-4212-A86A-385CABC00490}" xr6:coauthVersionLast="47" xr6:coauthVersionMax="47" xr10:uidLastSave="{00000000-0000-0000-0000-000000000000}"/>
  <bookViews>
    <workbookView xWindow="-108" yWindow="-108" windowWidth="27288" windowHeight="17544" activeTab="1" xr2:uid="{00000000-000D-0000-FFFF-FFFF00000000}"/>
  </bookViews>
  <sheets>
    <sheet name="Vse Anotacije" sheetId="8" r:id="rId1"/>
    <sheet name="Upoštevane Anotacije" sheetId="7" r:id="rId2"/>
    <sheet name="pf01823" sheetId="1" r:id="rId3"/>
    <sheet name="ipr001862" sheetId="6" r:id="rId4"/>
    <sheet name="ipr020863" sheetId="9" r:id="rId5"/>
    <sheet name="ipr020864" sheetId="10" r:id="rId6"/>
    <sheet name="1.C.39.4.1" sheetId="11" r:id="rId7"/>
    <sheet name="1.C.39.9.1" sheetId="12" r:id="rId8"/>
    <sheet name="1.C.97.1.1" sheetId="14" r:id="rId9"/>
    <sheet name="1.C.97.1.2" sheetId="16" r:id="rId10"/>
    <sheet name="1.C.97.2.1" sheetId="17" r:id="rId11"/>
    <sheet name="1.C.97.5.1" sheetId="19" r:id="rId12"/>
    <sheet name="perforin" sheetId="21" r:id="rId13"/>
    <sheet name="1.C.39.8.1" sheetId="23" r:id="rId14"/>
    <sheet name="1.C.39.8.2" sheetId="24" r:id="rId15"/>
    <sheet name="MACPF" sheetId="25" r:id="rId16"/>
    <sheet name="MACPF Homologue" sheetId="26" r:id="rId17"/>
    <sheet name="MAC" sheetId="27" r:id="rId18"/>
    <sheet name="hemolysis" sheetId="28" r:id="rId19"/>
    <sheet name="pleurotolysin B" sheetId="31" r:id="rId20"/>
    <sheet name="pleurotolysin" sheetId="32" r:id="rId21"/>
    <sheet name="Erylysin" sheetId="34" r:id="rId22"/>
    <sheet name="f" sheetId="35" r:id="rId23"/>
  </sheets>
  <definedNames>
    <definedName name="_xlnm._FilterDatabase" localSheetId="7" hidden="1">'1.C.39.9.1'!$C$2:$C$10</definedName>
    <definedName name="_xlnm._FilterDatabase" localSheetId="1" hidden="1">'Upoštevane Anotacije'!$A$1:$D$18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7" l="1"/>
  <c r="E6" i="27"/>
  <c r="E7" i="27"/>
  <c r="E8" i="27"/>
  <c r="E9" i="27"/>
  <c r="E10" i="27"/>
  <c r="E11" i="27"/>
  <c r="E13" i="27"/>
  <c r="E15" i="27"/>
  <c r="E16" i="27"/>
  <c r="E17" i="27"/>
  <c r="E20" i="27"/>
  <c r="E21" i="27"/>
  <c r="E23" i="27"/>
  <c r="E24" i="27"/>
  <c r="E25" i="27"/>
  <c r="E26" i="27"/>
  <c r="E27" i="27"/>
  <c r="E28" i="27"/>
  <c r="E29" i="27"/>
  <c r="E32" i="27"/>
  <c r="E33" i="27"/>
  <c r="E34" i="27"/>
  <c r="E35" i="27"/>
  <c r="E36" i="27"/>
  <c r="E37" i="27"/>
  <c r="E40" i="27"/>
  <c r="E43" i="27"/>
  <c r="E44" i="27"/>
  <c r="E45" i="27"/>
  <c r="E46" i="27"/>
  <c r="E47" i="27"/>
  <c r="E48" i="27"/>
  <c r="E2" i="27"/>
  <c r="E3" i="26"/>
  <c r="E4" i="26"/>
  <c r="E5" i="26"/>
  <c r="E6" i="26"/>
  <c r="E7" i="26"/>
  <c r="E8" i="26"/>
  <c r="E9" i="26"/>
  <c r="E10" i="26"/>
  <c r="E11" i="26"/>
  <c r="E12" i="26"/>
  <c r="E13" i="26"/>
  <c r="E14" i="26"/>
  <c r="E2" i="26"/>
  <c r="D4" i="25"/>
  <c r="D34" i="25"/>
  <c r="D35" i="25"/>
  <c r="D5" i="25"/>
  <c r="D6" i="25"/>
  <c r="D7" i="25"/>
  <c r="D8" i="25"/>
  <c r="D9" i="25"/>
  <c r="D10" i="25"/>
  <c r="D11" i="25"/>
  <c r="D12" i="25"/>
  <c r="D13" i="25"/>
  <c r="D14" i="25"/>
  <c r="D36" i="25"/>
  <c r="D37" i="25"/>
  <c r="D15" i="25"/>
  <c r="D16" i="25"/>
  <c r="D17" i="25"/>
  <c r="D20" i="25"/>
  <c r="D21" i="25"/>
  <c r="D22" i="25"/>
  <c r="D23" i="25"/>
  <c r="D24" i="25"/>
  <c r="D46" i="25"/>
  <c r="D25" i="25"/>
  <c r="D26" i="25"/>
  <c r="D27" i="25"/>
  <c r="D28" i="25"/>
  <c r="D29" i="25"/>
  <c r="D38" i="25"/>
  <c r="D39" i="25"/>
  <c r="D40" i="25"/>
  <c r="D41" i="25"/>
  <c r="D42" i="25"/>
  <c r="D43" i="25"/>
  <c r="D44" i="25"/>
  <c r="D45" i="25"/>
  <c r="D2" i="25"/>
  <c r="E3" i="24"/>
  <c r="E4" i="24"/>
  <c r="E5" i="24"/>
  <c r="E2" i="24"/>
  <c r="E3" i="23"/>
  <c r="E4" i="23"/>
  <c r="E5" i="23"/>
  <c r="E6" i="23"/>
  <c r="E7" i="23"/>
  <c r="E2" i="23"/>
  <c r="D19" i="21"/>
  <c r="D18" i="21"/>
  <c r="D2" i="21"/>
  <c r="D3" i="21"/>
  <c r="D37" i="21"/>
  <c r="D4" i="21"/>
  <c r="D5" i="21"/>
  <c r="D6" i="21"/>
  <c r="D7" i="21"/>
  <c r="D8" i="21"/>
  <c r="D9" i="21"/>
  <c r="D10" i="21"/>
  <c r="D11" i="21"/>
  <c r="D12" i="21"/>
  <c r="D35" i="21"/>
  <c r="D36" i="21"/>
  <c r="D13" i="21"/>
  <c r="D14" i="21"/>
  <c r="D15" i="21"/>
  <c r="D16" i="21"/>
  <c r="D17" i="21"/>
  <c r="D20" i="21"/>
  <c r="D38" i="21"/>
  <c r="D21" i="21"/>
  <c r="D22" i="21"/>
  <c r="D23" i="21"/>
  <c r="D24" i="21"/>
  <c r="D25" i="21"/>
  <c r="D34" i="21"/>
  <c r="D29" i="21"/>
  <c r="D30" i="21"/>
  <c r="D31" i="21"/>
  <c r="D32" i="21"/>
  <c r="D33" i="21"/>
  <c r="E3" i="19"/>
  <c r="E4" i="19"/>
  <c r="E2" i="19"/>
  <c r="E3" i="17"/>
  <c r="E4" i="17"/>
  <c r="E2" i="17"/>
  <c r="E2" i="16"/>
  <c r="E3" i="16"/>
  <c r="E4" i="16"/>
  <c r="E5" i="16"/>
  <c r="E6" i="16"/>
  <c r="E7" i="16"/>
  <c r="E8" i="16"/>
  <c r="E5" i="14"/>
  <c r="E3" i="14"/>
  <c r="E2" i="14"/>
  <c r="E3" i="12"/>
  <c r="E4" i="12"/>
  <c r="E5" i="12"/>
  <c r="E6" i="12"/>
  <c r="E7" i="12"/>
  <c r="E8" i="12"/>
  <c r="E9" i="12"/>
  <c r="E10" i="12"/>
  <c r="E2" i="12"/>
  <c r="E3" i="11"/>
  <c r="E4" i="11"/>
  <c r="E5" i="11"/>
  <c r="E2" i="11"/>
  <c r="D28" i="10"/>
  <c r="D20" i="10"/>
  <c r="D14" i="10"/>
  <c r="D25" i="10"/>
  <c r="D30" i="10"/>
  <c r="D6" i="10"/>
  <c r="D7" i="10"/>
  <c r="D9" i="10"/>
  <c r="D6" i="9"/>
  <c r="D12" i="9"/>
  <c r="D13" i="9"/>
  <c r="D14" i="9"/>
  <c r="D15" i="9"/>
  <c r="D16" i="9"/>
  <c r="D17" i="9"/>
  <c r="D18" i="9"/>
  <c r="D19" i="9"/>
  <c r="D20" i="9"/>
  <c r="D21" i="9"/>
  <c r="D22" i="9"/>
  <c r="D23" i="9"/>
  <c r="D7" i="9"/>
  <c r="D8" i="9"/>
  <c r="D9" i="9"/>
  <c r="F20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19FB0-6F0E-42A2-8D16-41DE1E18A5D6}" keepAlive="1" name="Poizvedba – Prikazano besedilo" description="Povezava s poizvedbo »Prikazano besedilo« v delovnem zvezku." type="5" refreshedVersion="0" background="1">
    <dbPr connection="Provider=Microsoft.Mashup.OleDb.1;Data Source=$Workbook$;Location=&quot;Prikazano besedilo&quot;;Extended Properties=&quot;&quot;" command="SELECT * FROM [Prikazano besedilo]"/>
  </connection>
</connections>
</file>

<file path=xl/sharedStrings.xml><?xml version="1.0" encoding="utf-8"?>
<sst xmlns="http://schemas.openxmlformats.org/spreadsheetml/2006/main" count="1055" uniqueCount="216">
  <si>
    <t>pf01823</t>
  </si>
  <si>
    <t>Membrane attack complex component/perforin (MACPF) domain</t>
  </si>
  <si>
    <t>da</t>
  </si>
  <si>
    <t>Membrane attack complex component/perforin/complement C9</t>
  </si>
  <si>
    <t>Concanavalin A-like lectin/glucanases superfamily</t>
  </si>
  <si>
    <t>P-loop containing nucleoside triphosphate hydrolase</t>
  </si>
  <si>
    <t>1.C.39.9.1</t>
  </si>
  <si>
    <t>MACPF homologue</t>
  </si>
  <si>
    <t>1.C.97.2.1</t>
  </si>
  <si>
    <t>Putative hemolysin of 224 aas</t>
  </si>
  <si>
    <t>1.C.39.4.1</t>
  </si>
  <si>
    <t>Chain A, MACPF perforin-like protein, Plu-MACPF (structure solved to 2.0 Å resolution; Rosado et al., 2007).</t>
  </si>
  <si>
    <t>1.C.97.1.2</t>
  </si>
  <si>
    <t>1.C.97.5.1</t>
  </si>
  <si>
    <t>Annotations</t>
  </si>
  <si>
    <t>1.C.97.1.1</t>
  </si>
  <si>
    <t>Cystatin domain</t>
  </si>
  <si>
    <t>AIG1 family</t>
  </si>
  <si>
    <t>AIG1-type guanine nucleotide-binding (G) domain</t>
  </si>
  <si>
    <t>50S ribosome-binding GTPase</t>
  </si>
  <si>
    <t>GTP binding domain</t>
  </si>
  <si>
    <t>Protein-tyrosine phosphatase, active site</t>
  </si>
  <si>
    <t>Membrane attack complex component/perforin domain, conserved site</t>
  </si>
  <si>
    <t>Septin</t>
  </si>
  <si>
    <t>Septin-type guanine nucleotide-binding (G) domain</t>
  </si>
  <si>
    <t>DDE superfamily endonuclease</t>
  </si>
  <si>
    <t>HTH CenpB-type DNA-binding domain</t>
  </si>
  <si>
    <t>DDE superfamily endonuclease domain</t>
  </si>
  <si>
    <t>Armadillo</t>
  </si>
  <si>
    <t>Armadillo-type fold</t>
  </si>
  <si>
    <t>anotacije</t>
  </si>
  <si>
    <t>IPRF</t>
  </si>
  <si>
    <t>ipr000010</t>
  </si>
  <si>
    <t>ipr000225</t>
  </si>
  <si>
    <t>ipr001862</t>
  </si>
  <si>
    <t>ipr003890</t>
  </si>
  <si>
    <t>ipr004875</t>
  </si>
  <si>
    <t>ipr006073</t>
  </si>
  <si>
    <t>ipr006600</t>
  </si>
  <si>
    <t>ipr006703</t>
  </si>
  <si>
    <t>ipr009014</t>
  </si>
  <si>
    <t>ipr013320</t>
  </si>
  <si>
    <t>ipr016024</t>
  </si>
  <si>
    <t>ipr016130</t>
  </si>
  <si>
    <t>ipr020863</t>
  </si>
  <si>
    <t>ipr020864</t>
  </si>
  <si>
    <t>ipr027417</t>
  </si>
  <si>
    <t>ipr029021</t>
  </si>
  <si>
    <t>ipr030379</t>
  </si>
  <si>
    <t>KOG</t>
  </si>
  <si>
    <t>KOG0401</t>
  </si>
  <si>
    <t>PFD</t>
  </si>
  <si>
    <t>pf00735</t>
  </si>
  <si>
    <t>pf01926</t>
  </si>
  <si>
    <t>pf02854</t>
  </si>
  <si>
    <t>pf03184</t>
  </si>
  <si>
    <t>pf04548</t>
  </si>
  <si>
    <t>pf13385</t>
  </si>
  <si>
    <t>TCDB</t>
  </si>
  <si>
    <t>MIF4G-like, type 3</t>
  </si>
  <si>
    <t>Transketolase C-terminal/Pyruvate-ferredoxin oxidoreductase domain II</t>
  </si>
  <si>
    <t>Concanavalin A-like lectin/glucanase domain superfamily</t>
  </si>
  <si>
    <t>Protein-tyrosine phosphatase-like</t>
  </si>
  <si>
    <t>MAC/Perforin domain</t>
  </si>
  <si>
    <t>MIF4G domain</t>
  </si>
  <si>
    <t>2 component system: The Pleurotolysin Pore-forming (Pleurotolysin) Family</t>
  </si>
  <si>
    <t>pleurotolysin a in pleurotolysin b</t>
  </si>
  <si>
    <t>Erylysin A in Erylsin B</t>
  </si>
  <si>
    <t>da - lektini in fruiting body aegerolysins</t>
  </si>
  <si>
    <t>ne</t>
  </si>
  <si>
    <t>pf06441</t>
  </si>
  <si>
    <t>pf00320</t>
  </si>
  <si>
    <t>KEGGEC</t>
  </si>
  <si>
    <t>3.3.2.9</t>
  </si>
  <si>
    <t>KOG1601</t>
  </si>
  <si>
    <t>KOG2565</t>
  </si>
  <si>
    <t>ipr000679</t>
  </si>
  <si>
    <t>MERCO</t>
  </si>
  <si>
    <t>S33.971</t>
  </si>
  <si>
    <t>ipr000073</t>
  </si>
  <si>
    <t>ipr000639</t>
  </si>
  <si>
    <t>ipr010497</t>
  </si>
  <si>
    <t>ipr016292</t>
  </si>
  <si>
    <t>pf00561</t>
  </si>
  <si>
    <t>id</t>
  </si>
  <si>
    <t>Zinc finger, GATA-type</t>
  </si>
  <si>
    <t>Alpha/beta hydrolase fold-1</t>
  </si>
  <si>
    <t>Epoxide hydrolase-like</t>
  </si>
  <si>
    <t>Epoxide hydrolase, N-terminal</t>
  </si>
  <si>
    <t>Epoxide hydrolase</t>
  </si>
  <si>
    <t>microsomal epoxide hydrolase</t>
  </si>
  <si>
    <t>GATA-4/5/6 transcription factors</t>
  </si>
  <si>
    <t>Predicted hydrolases or acyltransferases (alpha/beta hydrolase superfamily)</t>
  </si>
  <si>
    <t>GATA zinc finger</t>
  </si>
  <si>
    <t>alpha/beta hydrolase fold</t>
  </si>
  <si>
    <t>Epoxide hydrolase N terminus</t>
  </si>
  <si>
    <t>Posikano?</t>
  </si>
  <si>
    <t>Anotations</t>
  </si>
  <si>
    <t>ID</t>
  </si>
  <si>
    <t>ipr005123</t>
  </si>
  <si>
    <t>1.14.11.13</t>
  </si>
  <si>
    <t>pf13640</t>
  </si>
  <si>
    <t>KOG0143</t>
  </si>
  <si>
    <t>ipr002283</t>
  </si>
  <si>
    <t>ipr026992</t>
  </si>
  <si>
    <t>pf03171</t>
  </si>
  <si>
    <t>pf14226</t>
  </si>
  <si>
    <t>Oxoglutarate/iron-dependent dioxygenase domain</t>
  </si>
  <si>
    <t>Non-haem dioxygenase, N-terminal domain</t>
  </si>
  <si>
    <t>2OG-Fe(II) oxygenase superfamily</t>
  </si>
  <si>
    <t>non-haem dioxygenase in morphine synthesis N-terminal</t>
  </si>
  <si>
    <t>Iron/ascorbate family oxidoreductases</t>
  </si>
  <si>
    <t>gibberellin 2beta-dioxygenase</t>
  </si>
  <si>
    <t>ni podatkov</t>
  </si>
  <si>
    <t>The Pleurotolysin Pore-forming (Pleurotolysin) Family</t>
  </si>
  <si>
    <t/>
  </si>
  <si>
    <t>85 zadetkov</t>
  </si>
  <si>
    <t>Chain A, MACPF perforin-like protein, Plu-MACPF (structure solved to 2.0 Ã… resolution; Rosado et al., 2007).</t>
  </si>
  <si>
    <t>User Annotations</t>
  </si>
  <si>
    <t>KOG1922</t>
  </si>
  <si>
    <t>GO:0019836</t>
  </si>
  <si>
    <t>ipr002048</t>
  </si>
  <si>
    <t>ipr008985</t>
  </si>
  <si>
    <t>ipr009002</t>
  </si>
  <si>
    <t>ipr009413</t>
  </si>
  <si>
    <t>ipr010916</t>
  </si>
  <si>
    <t>ipr011685</t>
  </si>
  <si>
    <t>ipr029055</t>
  </si>
  <si>
    <t>2.7.7.6</t>
  </si>
  <si>
    <t>KOG1043</t>
  </si>
  <si>
    <t>pf06355</t>
  </si>
  <si>
    <t>pf07766</t>
  </si>
  <si>
    <t>2.A.97.1.1</t>
  </si>
  <si>
    <t>EF-hand domain</t>
  </si>
  <si>
    <t>FMN-binding split barrel-related</t>
  </si>
  <si>
    <t>Hemolysin, aegerolysin type</t>
  </si>
  <si>
    <t>TonB box, conserved site</t>
  </si>
  <si>
    <t>LETM1-like</t>
  </si>
  <si>
    <t>Nucleophile aminohydrolases, N-terminal</t>
  </si>
  <si>
    <t>LETM1-like, RBD</t>
  </si>
  <si>
    <t>Aegerolysin</t>
  </si>
  <si>
    <t>LETM1 and EF-hand domain-containing protein 1, mitochondrial</t>
  </si>
  <si>
    <t>DNA-directed RNA polymerase</t>
  </si>
  <si>
    <t>Ca2+-binding transmembrane protein LETM1/MRS7</t>
  </si>
  <si>
    <t>Erylysin A/B pore-forming toxin (Shibata et al., 2010)</t>
  </si>
  <si>
    <t>ipr001547</t>
  </si>
  <si>
    <t>ipr015425</t>
  </si>
  <si>
    <t>Glycoside hydrolase, family 5</t>
  </si>
  <si>
    <t>Formin, FH2 domain</t>
  </si>
  <si>
    <t>Rho GTPase effector BNI1 and related formins</t>
  </si>
  <si>
    <t>KOG2992</t>
  </si>
  <si>
    <t>ipr008997</t>
  </si>
  <si>
    <t>Nucleolar GTPase/ATPase p130</t>
  </si>
  <si>
    <t>Database</t>
  </si>
  <si>
    <t>Accesion Number</t>
  </si>
  <si>
    <t>Annotation</t>
  </si>
  <si>
    <t>perforin</t>
  </si>
  <si>
    <t>"perforin"</t>
  </si>
  <si>
    <t>ipr000585</t>
  </si>
  <si>
    <t>ipr018487</t>
  </si>
  <si>
    <t>M10.031</t>
  </si>
  <si>
    <t>M10.UNA</t>
  </si>
  <si>
    <t>pf00045</t>
  </si>
  <si>
    <t>1.C.39.8.1</t>
  </si>
  <si>
    <t>1.C.39.8.2</t>
  </si>
  <si>
    <t>Hemopexin-like domain</t>
  </si>
  <si>
    <t>Hemopexin-like repeats</t>
  </si>
  <si>
    <t>MACPF-Hemopexin protein</t>
  </si>
  <si>
    <t>The MACPF protein homologue with hemopexin-like C-terminal repeats</t>
  </si>
  <si>
    <t>Hemopexin</t>
  </si>
  <si>
    <t>MACPF</t>
  </si>
  <si>
    <t>ipr000033</t>
  </si>
  <si>
    <t>KOG1215</t>
  </si>
  <si>
    <t>9.B.87.2.1</t>
  </si>
  <si>
    <t>LDLR class B repeat</t>
  </si>
  <si>
    <t>Astrotactin-1, Astn1</t>
  </si>
  <si>
    <t>Low-density lipoprotein receptors containing Ca2+-binding EGF-like domains</t>
  </si>
  <si>
    <t>Translation initiation factor 4F, ribosome/mRNA-bridging subunit (eIF-4G)</t>
  </si>
  <si>
    <t>MAC</t>
  </si>
  <si>
    <t>ipr000504</t>
  </si>
  <si>
    <t>ipr001451</t>
  </si>
  <si>
    <t>ipr007110</t>
  </si>
  <si>
    <t>ipr011004</t>
  </si>
  <si>
    <t>ipr018357</t>
  </si>
  <si>
    <t>ipr019183</t>
  </si>
  <si>
    <t>ipr024688</t>
  </si>
  <si>
    <t>2.3.1.30</t>
  </si>
  <si>
    <t>KOG2053</t>
  </si>
  <si>
    <t>KOG4750</t>
  </si>
  <si>
    <t>pf00076</t>
  </si>
  <si>
    <t>pf00132</t>
  </si>
  <si>
    <t>pf09797</t>
  </si>
  <si>
    <t>pf12464</t>
  </si>
  <si>
    <t>pf14259</t>
  </si>
  <si>
    <t>pf14602</t>
  </si>
  <si>
    <t>RNA recognition motif domain</t>
  </si>
  <si>
    <t>Hexapeptide repeat</t>
  </si>
  <si>
    <t>Immunoglobulin-like domain</t>
  </si>
  <si>
    <t>Trimeric LpxA-like superfamily</t>
  </si>
  <si>
    <t>Hexapeptide transferase, conserved site</t>
  </si>
  <si>
    <t>N-alpha-acetyltransferase 25, NatB auxiliary subunit</t>
  </si>
  <si>
    <t>Maltose/galactoside acetyltransferase domain</t>
  </si>
  <si>
    <t>RNA recognition motif</t>
  </si>
  <si>
    <t>Bacterial transferase hexapeptide (six repeats)</t>
  </si>
  <si>
    <t>N-acetyltransferase B complex (NatB) non catalytic subunit</t>
  </si>
  <si>
    <t>Maltose acetyltransferase hexapeptide capping motif</t>
  </si>
  <si>
    <t>Hexapeptide repeat of succinyl-transferase</t>
  </si>
  <si>
    <t>Obsolete</t>
  </si>
  <si>
    <t>hemolysis</t>
  </si>
  <si>
    <t>symbiont-mediated hemolysis of host erythrocyte</t>
  </si>
  <si>
    <t>"Pleurotolysin B"</t>
  </si>
  <si>
    <t>Pleurotolysin B</t>
  </si>
  <si>
    <t>pleurotolysin</t>
  </si>
  <si>
    <t>Pleurotolysin</t>
  </si>
  <si>
    <t>priA</t>
  </si>
  <si>
    <t>Erylysin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</si>
</sst>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1" fillId="0" borderId="0" xfId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iperpovezava" xfId="1" builtinId="8"/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cdb.org/search/result.php?tc=1.C.97" TargetMode="External"/><Relationship Id="rId2" Type="http://schemas.openxmlformats.org/officeDocument/2006/relationships/hyperlink" Target="https://tcdb.org/search/result.php?tc=1.C.97" TargetMode="External"/><Relationship Id="rId1" Type="http://schemas.openxmlformats.org/officeDocument/2006/relationships/hyperlink" Target="https://tcdb.org/search/result.php?tc=1.C.97" TargetMode="External"/><Relationship Id="rId4" Type="http://schemas.openxmlformats.org/officeDocument/2006/relationships/hyperlink" Target="http://amigo.geneontology.org/amigo/term/GO:001983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cdb.org/search/result.php?tc=1.C.97" TargetMode="External"/><Relationship Id="rId2" Type="http://schemas.openxmlformats.org/officeDocument/2006/relationships/hyperlink" Target="https://tcdb.org/search/result.php?tc=1.C.97" TargetMode="External"/><Relationship Id="rId1" Type="http://schemas.openxmlformats.org/officeDocument/2006/relationships/hyperlink" Target="https://tcdb.org/search/result.php?tc=1.C.97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cdb.org/search/result.php?tc=1.C.97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cdb.org/search/result.php?tc=1.C.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85E3-A2CD-4C63-80C3-424B879C9B52}">
  <dimension ref="A1:C77"/>
  <sheetViews>
    <sheetView topLeftCell="A57" workbookViewId="0">
      <selection activeCell="C83" sqref="C83"/>
    </sheetView>
  </sheetViews>
  <sheetFormatPr defaultRowHeight="14.4" x14ac:dyDescent="0.3"/>
  <cols>
    <col min="1" max="1" width="7.88671875" bestFit="1" customWidth="1"/>
    <col min="2" max="2" width="9.44140625" bestFit="1" customWidth="1"/>
    <col min="3" max="3" width="98.109375" bestFit="1" customWidth="1"/>
  </cols>
  <sheetData>
    <row r="1" spans="1:3" x14ac:dyDescent="0.3">
      <c r="A1" t="s">
        <v>31</v>
      </c>
      <c r="B1" t="s">
        <v>34</v>
      </c>
      <c r="C1" t="s">
        <v>3</v>
      </c>
    </row>
    <row r="2" spans="1:3" x14ac:dyDescent="0.3">
      <c r="A2" t="s">
        <v>58</v>
      </c>
      <c r="B2" t="s">
        <v>6</v>
      </c>
      <c r="C2" t="s">
        <v>7</v>
      </c>
    </row>
    <row r="3" spans="1:3" x14ac:dyDescent="0.3">
      <c r="A3" t="s">
        <v>58</v>
      </c>
      <c r="B3" t="s">
        <v>13</v>
      </c>
      <c r="C3" t="s">
        <v>65</v>
      </c>
    </row>
    <row r="4" spans="1:3" x14ac:dyDescent="0.3">
      <c r="A4" t="s">
        <v>58</v>
      </c>
      <c r="B4" t="s">
        <v>10</v>
      </c>
      <c r="C4" t="s">
        <v>11</v>
      </c>
    </row>
    <row r="5" spans="1:3" x14ac:dyDescent="0.3">
      <c r="A5" t="s">
        <v>58</v>
      </c>
      <c r="B5" t="s">
        <v>12</v>
      </c>
      <c r="C5" t="s">
        <v>65</v>
      </c>
    </row>
    <row r="6" spans="1:3" x14ac:dyDescent="0.3">
      <c r="A6" t="s">
        <v>31</v>
      </c>
      <c r="B6" t="s">
        <v>32</v>
      </c>
      <c r="C6" t="s">
        <v>16</v>
      </c>
    </row>
    <row r="7" spans="1:3" x14ac:dyDescent="0.3">
      <c r="A7" t="s">
        <v>31</v>
      </c>
      <c r="B7" t="s">
        <v>40</v>
      </c>
      <c r="C7" t="s">
        <v>60</v>
      </c>
    </row>
    <row r="8" spans="1:3" x14ac:dyDescent="0.3">
      <c r="A8" t="s">
        <v>31</v>
      </c>
      <c r="B8" t="s">
        <v>76</v>
      </c>
      <c r="C8" t="s">
        <v>85</v>
      </c>
    </row>
    <row r="9" spans="1:3" x14ac:dyDescent="0.3">
      <c r="A9" t="s">
        <v>31</v>
      </c>
      <c r="B9" t="s">
        <v>79</v>
      </c>
      <c r="C9" t="s">
        <v>86</v>
      </c>
    </row>
    <row r="10" spans="1:3" x14ac:dyDescent="0.3">
      <c r="A10" t="s">
        <v>31</v>
      </c>
      <c r="B10" t="s">
        <v>80</v>
      </c>
      <c r="C10" t="s">
        <v>87</v>
      </c>
    </row>
    <row r="11" spans="1:3" x14ac:dyDescent="0.3">
      <c r="A11" t="s">
        <v>31</v>
      </c>
      <c r="B11" t="s">
        <v>81</v>
      </c>
      <c r="C11" t="s">
        <v>88</v>
      </c>
    </row>
    <row r="12" spans="1:3" x14ac:dyDescent="0.3">
      <c r="A12" t="s">
        <v>31</v>
      </c>
      <c r="B12" t="s">
        <v>82</v>
      </c>
      <c r="C12" t="s">
        <v>89</v>
      </c>
    </row>
    <row r="13" spans="1:3" x14ac:dyDescent="0.3">
      <c r="A13" t="s">
        <v>72</v>
      </c>
      <c r="B13" t="s">
        <v>73</v>
      </c>
      <c r="C13" t="s">
        <v>90</v>
      </c>
    </row>
    <row r="14" spans="1:3" x14ac:dyDescent="0.3">
      <c r="A14" t="s">
        <v>49</v>
      </c>
      <c r="B14" t="s">
        <v>74</v>
      </c>
      <c r="C14" t="s">
        <v>91</v>
      </c>
    </row>
    <row r="15" spans="1:3" x14ac:dyDescent="0.3">
      <c r="A15" t="s">
        <v>49</v>
      </c>
      <c r="B15" t="s">
        <v>75</v>
      </c>
      <c r="C15" t="s">
        <v>92</v>
      </c>
    </row>
    <row r="16" spans="1:3" x14ac:dyDescent="0.3">
      <c r="A16" t="s">
        <v>77</v>
      </c>
      <c r="B16" t="s">
        <v>78</v>
      </c>
    </row>
    <row r="17" spans="1:3" x14ac:dyDescent="0.3">
      <c r="A17" t="s">
        <v>51</v>
      </c>
      <c r="B17" t="s">
        <v>0</v>
      </c>
      <c r="C17" t="s">
        <v>63</v>
      </c>
    </row>
    <row r="18" spans="1:3" x14ac:dyDescent="0.3">
      <c r="A18" t="s">
        <v>51</v>
      </c>
      <c r="B18" t="s">
        <v>71</v>
      </c>
      <c r="C18" t="s">
        <v>93</v>
      </c>
    </row>
    <row r="19" spans="1:3" x14ac:dyDescent="0.3">
      <c r="A19" t="s">
        <v>51</v>
      </c>
      <c r="B19" t="s">
        <v>83</v>
      </c>
      <c r="C19" t="s">
        <v>94</v>
      </c>
    </row>
    <row r="20" spans="1:3" x14ac:dyDescent="0.3">
      <c r="A20" t="s">
        <v>51</v>
      </c>
      <c r="B20" t="s">
        <v>70</v>
      </c>
      <c r="C20" t="s">
        <v>95</v>
      </c>
    </row>
    <row r="21" spans="1:3" x14ac:dyDescent="0.3">
      <c r="A21" t="s">
        <v>31</v>
      </c>
      <c r="B21" t="s">
        <v>37</v>
      </c>
      <c r="C21" t="s">
        <v>20</v>
      </c>
    </row>
    <row r="22" spans="1:3" x14ac:dyDescent="0.3">
      <c r="A22" t="s">
        <v>31</v>
      </c>
      <c r="B22" t="s">
        <v>39</v>
      </c>
      <c r="C22" t="s">
        <v>18</v>
      </c>
    </row>
    <row r="23" spans="1:3" x14ac:dyDescent="0.3">
      <c r="A23" t="s">
        <v>31</v>
      </c>
      <c r="B23" t="s">
        <v>99</v>
      </c>
      <c r="C23" t="s">
        <v>107</v>
      </c>
    </row>
    <row r="24" spans="1:3" x14ac:dyDescent="0.3">
      <c r="A24" t="s">
        <v>31</v>
      </c>
      <c r="B24" t="s">
        <v>46</v>
      </c>
      <c r="C24" t="s">
        <v>5</v>
      </c>
    </row>
    <row r="25" spans="1:3" x14ac:dyDescent="0.3">
      <c r="A25" t="s">
        <v>31</v>
      </c>
      <c r="B25" t="s">
        <v>103</v>
      </c>
      <c r="C25" t="s">
        <v>113</v>
      </c>
    </row>
    <row r="26" spans="1:3" x14ac:dyDescent="0.3">
      <c r="A26" t="s">
        <v>31</v>
      </c>
      <c r="B26" t="s">
        <v>104</v>
      </c>
      <c r="C26" t="s">
        <v>108</v>
      </c>
    </row>
    <row r="27" spans="1:3" x14ac:dyDescent="0.3">
      <c r="A27" t="s">
        <v>72</v>
      </c>
      <c r="B27" t="s">
        <v>100</v>
      </c>
      <c r="C27" t="s">
        <v>112</v>
      </c>
    </row>
    <row r="28" spans="1:3" x14ac:dyDescent="0.3">
      <c r="A28" t="s">
        <v>49</v>
      </c>
      <c r="B28" t="s">
        <v>102</v>
      </c>
      <c r="C28" t="s">
        <v>111</v>
      </c>
    </row>
    <row r="29" spans="1:3" x14ac:dyDescent="0.3">
      <c r="A29" t="s">
        <v>51</v>
      </c>
      <c r="B29" t="s">
        <v>101</v>
      </c>
      <c r="C29" t="s">
        <v>109</v>
      </c>
    </row>
    <row r="30" spans="1:3" x14ac:dyDescent="0.3">
      <c r="A30" t="s">
        <v>51</v>
      </c>
      <c r="B30" t="s">
        <v>53</v>
      </c>
      <c r="C30" t="s">
        <v>19</v>
      </c>
    </row>
    <row r="31" spans="1:3" x14ac:dyDescent="0.3">
      <c r="A31" t="s">
        <v>51</v>
      </c>
      <c r="B31" t="s">
        <v>105</v>
      </c>
      <c r="C31" t="s">
        <v>109</v>
      </c>
    </row>
    <row r="32" spans="1:3" x14ac:dyDescent="0.3">
      <c r="A32" t="s">
        <v>51</v>
      </c>
      <c r="B32" t="s">
        <v>106</v>
      </c>
      <c r="C32" t="s">
        <v>110</v>
      </c>
    </row>
    <row r="33" spans="1:3" x14ac:dyDescent="0.3">
      <c r="A33" t="s">
        <v>51</v>
      </c>
      <c r="B33" t="s">
        <v>56</v>
      </c>
      <c r="C33" t="s">
        <v>17</v>
      </c>
    </row>
    <row r="34" spans="1:3" x14ac:dyDescent="0.3">
      <c r="A34" t="s">
        <v>51</v>
      </c>
      <c r="B34" t="s">
        <v>57</v>
      </c>
      <c r="C34" t="s">
        <v>4</v>
      </c>
    </row>
    <row r="35" spans="1:3" x14ac:dyDescent="0.3">
      <c r="A35" t="s">
        <v>58</v>
      </c>
      <c r="B35" t="s">
        <v>15</v>
      </c>
      <c r="C35" t="s">
        <v>114</v>
      </c>
    </row>
    <row r="36" spans="1:3" x14ac:dyDescent="0.3">
      <c r="A36" t="s">
        <v>58</v>
      </c>
      <c r="B36" t="s">
        <v>8</v>
      </c>
      <c r="C36" t="s">
        <v>9</v>
      </c>
    </row>
    <row r="37" spans="1:3" x14ac:dyDescent="0.3">
      <c r="A37" t="s">
        <v>31</v>
      </c>
      <c r="B37" t="s">
        <v>44</v>
      </c>
      <c r="C37" t="s">
        <v>22</v>
      </c>
    </row>
    <row r="38" spans="1:3" x14ac:dyDescent="0.3">
      <c r="A38" t="s">
        <v>31</v>
      </c>
      <c r="B38" t="s">
        <v>45</v>
      </c>
      <c r="C38" t="s">
        <v>1</v>
      </c>
    </row>
    <row r="39" spans="1:3" x14ac:dyDescent="0.3">
      <c r="A39" t="s">
        <v>31</v>
      </c>
      <c r="B39" t="s">
        <v>33</v>
      </c>
      <c r="C39" t="s">
        <v>28</v>
      </c>
    </row>
    <row r="40" spans="1:3" x14ac:dyDescent="0.3">
      <c r="A40" t="s">
        <v>31</v>
      </c>
      <c r="B40" t="s">
        <v>35</v>
      </c>
      <c r="C40" t="s">
        <v>59</v>
      </c>
    </row>
    <row r="41" spans="1:3" x14ac:dyDescent="0.3">
      <c r="A41" t="s">
        <v>31</v>
      </c>
      <c r="B41" t="s">
        <v>36</v>
      </c>
      <c r="C41" t="s">
        <v>27</v>
      </c>
    </row>
    <row r="42" spans="1:3" x14ac:dyDescent="0.3">
      <c r="A42" t="s">
        <v>31</v>
      </c>
      <c r="B42" t="s">
        <v>38</v>
      </c>
      <c r="C42" t="s">
        <v>26</v>
      </c>
    </row>
    <row r="43" spans="1:3" x14ac:dyDescent="0.3">
      <c r="A43" t="s">
        <v>31</v>
      </c>
      <c r="B43" t="s">
        <v>41</v>
      </c>
      <c r="C43" t="s">
        <v>61</v>
      </c>
    </row>
    <row r="44" spans="1:3" x14ac:dyDescent="0.3">
      <c r="A44" t="s">
        <v>31</v>
      </c>
      <c r="B44" t="s">
        <v>42</v>
      </c>
      <c r="C44" t="s">
        <v>29</v>
      </c>
    </row>
    <row r="45" spans="1:3" x14ac:dyDescent="0.3">
      <c r="A45" t="s">
        <v>31</v>
      </c>
      <c r="B45" t="s">
        <v>43</v>
      </c>
      <c r="C45" t="s">
        <v>21</v>
      </c>
    </row>
    <row r="46" spans="1:3" x14ac:dyDescent="0.3">
      <c r="A46" t="s">
        <v>31</v>
      </c>
      <c r="B46" t="s">
        <v>47</v>
      </c>
      <c r="C46" t="s">
        <v>62</v>
      </c>
    </row>
    <row r="47" spans="1:3" x14ac:dyDescent="0.3">
      <c r="A47" t="s">
        <v>31</v>
      </c>
      <c r="B47" t="s">
        <v>48</v>
      </c>
      <c r="C47" t="s">
        <v>24</v>
      </c>
    </row>
    <row r="48" spans="1:3" x14ac:dyDescent="0.3">
      <c r="A48" t="s">
        <v>49</v>
      </c>
      <c r="B48" t="s">
        <v>50</v>
      </c>
      <c r="C48" t="s">
        <v>115</v>
      </c>
    </row>
    <row r="49" spans="1:3" x14ac:dyDescent="0.3">
      <c r="A49" t="s">
        <v>51</v>
      </c>
      <c r="B49" t="s">
        <v>52</v>
      </c>
      <c r="C49" t="s">
        <v>23</v>
      </c>
    </row>
    <row r="50" spans="1:3" x14ac:dyDescent="0.3">
      <c r="A50" t="s">
        <v>51</v>
      </c>
      <c r="B50" t="s">
        <v>54</v>
      </c>
      <c r="C50" t="s">
        <v>64</v>
      </c>
    </row>
    <row r="51" spans="1:3" x14ac:dyDescent="0.3">
      <c r="A51" t="s">
        <v>51</v>
      </c>
      <c r="B51" t="s">
        <v>55</v>
      </c>
      <c r="C51" t="s">
        <v>25</v>
      </c>
    </row>
    <row r="52" spans="1:3" x14ac:dyDescent="0.3">
      <c r="A52" t="s">
        <v>31</v>
      </c>
      <c r="B52" t="s">
        <v>121</v>
      </c>
      <c r="C52" t="s">
        <v>133</v>
      </c>
    </row>
    <row r="53" spans="1:3" x14ac:dyDescent="0.3">
      <c r="A53" t="s">
        <v>31</v>
      </c>
      <c r="B53" t="s">
        <v>122</v>
      </c>
      <c r="C53" t="s">
        <v>4</v>
      </c>
    </row>
    <row r="54" spans="1:3" x14ac:dyDescent="0.3">
      <c r="A54" t="s">
        <v>31</v>
      </c>
      <c r="B54" t="s">
        <v>123</v>
      </c>
      <c r="C54" t="s">
        <v>134</v>
      </c>
    </row>
    <row r="55" spans="1:3" x14ac:dyDescent="0.3">
      <c r="A55" t="s">
        <v>31</v>
      </c>
      <c r="B55" t="s">
        <v>124</v>
      </c>
      <c r="C55" t="s">
        <v>135</v>
      </c>
    </row>
    <row r="56" spans="1:3" x14ac:dyDescent="0.3">
      <c r="A56" t="s">
        <v>31</v>
      </c>
      <c r="B56" t="s">
        <v>125</v>
      </c>
      <c r="C56" t="s">
        <v>136</v>
      </c>
    </row>
    <row r="57" spans="1:3" x14ac:dyDescent="0.3">
      <c r="A57" t="s">
        <v>31</v>
      </c>
      <c r="B57" t="s">
        <v>126</v>
      </c>
      <c r="C57" t="s">
        <v>137</v>
      </c>
    </row>
    <row r="58" spans="1:3" x14ac:dyDescent="0.3">
      <c r="A58" t="s">
        <v>31</v>
      </c>
      <c r="B58" t="s">
        <v>127</v>
      </c>
      <c r="C58" t="s">
        <v>138</v>
      </c>
    </row>
    <row r="59" spans="1:3" x14ac:dyDescent="0.3">
      <c r="A59" t="s">
        <v>72</v>
      </c>
      <c r="B59" t="s">
        <v>128</v>
      </c>
      <c r="C59" t="s">
        <v>142</v>
      </c>
    </row>
    <row r="60" spans="1:3" x14ac:dyDescent="0.3">
      <c r="A60" t="s">
        <v>49</v>
      </c>
      <c r="B60" t="s">
        <v>129</v>
      </c>
      <c r="C60" t="s">
        <v>143</v>
      </c>
    </row>
    <row r="61" spans="1:3" x14ac:dyDescent="0.3">
      <c r="A61" t="s">
        <v>51</v>
      </c>
      <c r="B61" t="s">
        <v>130</v>
      </c>
      <c r="C61" t="s">
        <v>140</v>
      </c>
    </row>
    <row r="62" spans="1:3" x14ac:dyDescent="0.3">
      <c r="A62" t="s">
        <v>51</v>
      </c>
      <c r="B62" t="s">
        <v>131</v>
      </c>
      <c r="C62" t="s">
        <v>139</v>
      </c>
    </row>
    <row r="63" spans="1:3" x14ac:dyDescent="0.3">
      <c r="A63" t="s">
        <v>58</v>
      </c>
      <c r="B63" t="s">
        <v>132</v>
      </c>
      <c r="C63" t="s">
        <v>141</v>
      </c>
    </row>
    <row r="64" spans="1:3" x14ac:dyDescent="0.3">
      <c r="A64" t="s">
        <v>31</v>
      </c>
      <c r="B64" t="s">
        <v>145</v>
      </c>
      <c r="C64" t="s">
        <v>147</v>
      </c>
    </row>
    <row r="65" spans="1:3" x14ac:dyDescent="0.3">
      <c r="A65" t="s">
        <v>31</v>
      </c>
      <c r="B65" t="s">
        <v>146</v>
      </c>
      <c r="C65" t="s">
        <v>148</v>
      </c>
    </row>
    <row r="66" spans="1:3" x14ac:dyDescent="0.3">
      <c r="A66" t="s">
        <v>49</v>
      </c>
      <c r="B66" t="s">
        <v>119</v>
      </c>
      <c r="C66" t="s">
        <v>149</v>
      </c>
    </row>
    <row r="67" spans="1:3" x14ac:dyDescent="0.3">
      <c r="A67" t="s">
        <v>49</v>
      </c>
      <c r="B67" t="s">
        <v>150</v>
      </c>
      <c r="C67" t="s">
        <v>152</v>
      </c>
    </row>
    <row r="68" spans="1:3" x14ac:dyDescent="0.3">
      <c r="A68" t="s">
        <v>31</v>
      </c>
      <c r="B68" t="s">
        <v>151</v>
      </c>
      <c r="C68" t="s">
        <v>113</v>
      </c>
    </row>
    <row r="69" spans="1:3" x14ac:dyDescent="0.3">
      <c r="A69" t="s">
        <v>77</v>
      </c>
      <c r="B69" t="s">
        <v>160</v>
      </c>
      <c r="C69" t="e">
        <v>#N/A</v>
      </c>
    </row>
    <row r="70" spans="1:3" x14ac:dyDescent="0.3">
      <c r="A70" t="s">
        <v>77</v>
      </c>
      <c r="B70" t="s">
        <v>161</v>
      </c>
      <c r="C70" t="e">
        <v>#N/A</v>
      </c>
    </row>
    <row r="71" spans="1:3" x14ac:dyDescent="0.3">
      <c r="A71" t="s">
        <v>58</v>
      </c>
      <c r="B71" t="s">
        <v>163</v>
      </c>
      <c r="C71" t="s">
        <v>167</v>
      </c>
    </row>
    <row r="72" spans="1:3" x14ac:dyDescent="0.3">
      <c r="A72" t="s">
        <v>58</v>
      </c>
      <c r="B72" t="s">
        <v>164</v>
      </c>
      <c r="C72" t="s">
        <v>168</v>
      </c>
    </row>
    <row r="73" spans="1:3" x14ac:dyDescent="0.3">
      <c r="A73" t="s">
        <v>51</v>
      </c>
      <c r="B73" t="s">
        <v>162</v>
      </c>
      <c r="C73" t="s">
        <v>169</v>
      </c>
    </row>
    <row r="74" spans="1:3" x14ac:dyDescent="0.3">
      <c r="A74" t="s">
        <v>31</v>
      </c>
      <c r="B74" t="s">
        <v>158</v>
      </c>
      <c r="C74" t="s">
        <v>165</v>
      </c>
    </row>
    <row r="75" spans="1:3" x14ac:dyDescent="0.3">
      <c r="A75" t="s">
        <v>31</v>
      </c>
      <c r="B75" t="s">
        <v>159</v>
      </c>
      <c r="C75" t="s">
        <v>166</v>
      </c>
    </row>
    <row r="76" spans="1:3" x14ac:dyDescent="0.3">
      <c r="A76" t="s">
        <v>31</v>
      </c>
      <c r="B76" t="s">
        <v>171</v>
      </c>
      <c r="C76" t="s">
        <v>174</v>
      </c>
    </row>
    <row r="77" spans="1:3" x14ac:dyDescent="0.3">
      <c r="A77" t="s">
        <v>58</v>
      </c>
      <c r="B77" t="s">
        <v>173</v>
      </c>
      <c r="C77" t="s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A8D1-1BAA-486D-8428-4EB3EB9E2F2D}">
  <dimension ref="A1:D31"/>
  <sheetViews>
    <sheetView tabSelected="1" zoomScale="130" zoomScaleNormal="130" workbookViewId="0">
      <selection activeCell="D32" sqref="D32"/>
    </sheetView>
  </sheetViews>
  <sheetFormatPr defaultRowHeight="14.4" x14ac:dyDescent="0.3"/>
  <cols>
    <col min="2" max="2" width="9.44140625" bestFit="1" customWidth="1"/>
    <col min="3" max="3" width="98.109375" bestFit="1" customWidth="1"/>
    <col min="4" max="4" width="10" bestFit="1" customWidth="1"/>
  </cols>
  <sheetData>
    <row r="1" spans="1:4" x14ac:dyDescent="0.3">
      <c r="A1" t="s">
        <v>153</v>
      </c>
      <c r="B1" t="s">
        <v>154</v>
      </c>
      <c r="C1" t="s">
        <v>155</v>
      </c>
      <c r="D1" t="s">
        <v>96</v>
      </c>
    </row>
    <row r="2" spans="1:4" x14ac:dyDescent="0.3">
      <c r="A2" t="s">
        <v>31</v>
      </c>
      <c r="B2" t="s">
        <v>34</v>
      </c>
      <c r="C2" t="s">
        <v>3</v>
      </c>
      <c r="D2" t="s">
        <v>2</v>
      </c>
    </row>
    <row r="3" spans="1:4" x14ac:dyDescent="0.3">
      <c r="A3" t="s">
        <v>31</v>
      </c>
      <c r="B3" s="1" t="s">
        <v>44</v>
      </c>
      <c r="C3" t="s">
        <v>22</v>
      </c>
      <c r="D3" t="s">
        <v>2</v>
      </c>
    </row>
    <row r="4" spans="1:4" x14ac:dyDescent="0.3">
      <c r="A4" t="s">
        <v>31</v>
      </c>
      <c r="B4" s="1" t="s">
        <v>45</v>
      </c>
      <c r="C4" t="s">
        <v>1</v>
      </c>
      <c r="D4" t="s">
        <v>2</v>
      </c>
    </row>
    <row r="5" spans="1:4" x14ac:dyDescent="0.3">
      <c r="A5" t="s">
        <v>51</v>
      </c>
      <c r="B5" s="1" t="s">
        <v>0</v>
      </c>
      <c r="C5" t="s">
        <v>63</v>
      </c>
      <c r="D5" t="s">
        <v>2</v>
      </c>
    </row>
    <row r="6" spans="1:4" x14ac:dyDescent="0.3">
      <c r="A6" t="s">
        <v>58</v>
      </c>
      <c r="B6" t="s">
        <v>10</v>
      </c>
      <c r="C6" t="s">
        <v>11</v>
      </c>
      <c r="D6" t="s">
        <v>2</v>
      </c>
    </row>
    <row r="7" spans="1:4" x14ac:dyDescent="0.3">
      <c r="A7" t="s">
        <v>58</v>
      </c>
      <c r="B7" t="s">
        <v>6</v>
      </c>
      <c r="C7" t="s">
        <v>7</v>
      </c>
      <c r="D7" t="s">
        <v>2</v>
      </c>
    </row>
    <row r="8" spans="1:4" x14ac:dyDescent="0.3">
      <c r="A8" t="s">
        <v>58</v>
      </c>
      <c r="B8" t="s">
        <v>15</v>
      </c>
      <c r="C8" s="2" t="s">
        <v>65</v>
      </c>
      <c r="D8" t="s">
        <v>2</v>
      </c>
    </row>
    <row r="9" spans="1:4" x14ac:dyDescent="0.3">
      <c r="A9" t="s">
        <v>58</v>
      </c>
      <c r="B9" t="s">
        <v>12</v>
      </c>
      <c r="C9" s="2" t="s">
        <v>65</v>
      </c>
      <c r="D9" t="s">
        <v>2</v>
      </c>
    </row>
    <row r="10" spans="1:4" x14ac:dyDescent="0.3">
      <c r="A10" t="s">
        <v>58</v>
      </c>
      <c r="B10" t="s">
        <v>8</v>
      </c>
      <c r="C10" t="s">
        <v>9</v>
      </c>
      <c r="D10" t="s">
        <v>2</v>
      </c>
    </row>
    <row r="11" spans="1:4" x14ac:dyDescent="0.3">
      <c r="A11" t="s">
        <v>58</v>
      </c>
      <c r="B11" t="s">
        <v>13</v>
      </c>
      <c r="C11" s="2" t="s">
        <v>65</v>
      </c>
      <c r="D11" t="s">
        <v>2</v>
      </c>
    </row>
    <row r="12" spans="1:4" x14ac:dyDescent="0.3">
      <c r="A12" t="s">
        <v>31</v>
      </c>
      <c r="B12" s="1" t="s">
        <v>39</v>
      </c>
      <c r="C12" t="s">
        <v>18</v>
      </c>
      <c r="D12" t="s">
        <v>69</v>
      </c>
    </row>
    <row r="13" spans="1:4" x14ac:dyDescent="0.3">
      <c r="A13" t="s">
        <v>31</v>
      </c>
      <c r="B13" s="1" t="s">
        <v>41</v>
      </c>
      <c r="C13" t="s">
        <v>61</v>
      </c>
      <c r="D13" t="s">
        <v>69</v>
      </c>
    </row>
    <row r="14" spans="1:4" x14ac:dyDescent="0.3">
      <c r="A14" t="s">
        <v>31</v>
      </c>
      <c r="B14" s="1" t="s">
        <v>43</v>
      </c>
      <c r="C14" t="s">
        <v>21</v>
      </c>
      <c r="D14" t="s">
        <v>69</v>
      </c>
    </row>
    <row r="15" spans="1:4" x14ac:dyDescent="0.3">
      <c r="A15" t="s">
        <v>51</v>
      </c>
      <c r="B15" t="s">
        <v>56</v>
      </c>
      <c r="C15" t="s">
        <v>17</v>
      </c>
      <c r="D15" t="s">
        <v>69</v>
      </c>
    </row>
    <row r="16" spans="1:4" x14ac:dyDescent="0.3">
      <c r="A16" t="s">
        <v>51</v>
      </c>
      <c r="B16" t="s">
        <v>57</v>
      </c>
      <c r="C16" t="s">
        <v>4</v>
      </c>
      <c r="D16" t="s">
        <v>69</v>
      </c>
    </row>
    <row r="17" spans="1:4" x14ac:dyDescent="0.3">
      <c r="A17" t="s">
        <v>31</v>
      </c>
      <c r="B17" t="s">
        <v>122</v>
      </c>
      <c r="C17" t="s">
        <v>4</v>
      </c>
      <c r="D17" t="s">
        <v>69</v>
      </c>
    </row>
    <row r="18" spans="1:4" x14ac:dyDescent="0.3">
      <c r="C18" t="s">
        <v>157</v>
      </c>
      <c r="D18" t="s">
        <v>2</v>
      </c>
    </row>
    <row r="19" spans="1:4" x14ac:dyDescent="0.3">
      <c r="A19" t="s">
        <v>58</v>
      </c>
      <c r="B19" t="s">
        <v>163</v>
      </c>
      <c r="C19" t="s">
        <v>167</v>
      </c>
      <c r="D19" t="s">
        <v>2</v>
      </c>
    </row>
    <row r="20" spans="1:4" x14ac:dyDescent="0.3">
      <c r="A20" t="s">
        <v>58</v>
      </c>
      <c r="B20" t="s">
        <v>164</v>
      </c>
      <c r="C20" t="s">
        <v>168</v>
      </c>
      <c r="D20" t="s">
        <v>2</v>
      </c>
    </row>
    <row r="21" spans="1:4" x14ac:dyDescent="0.3">
      <c r="A21" t="s">
        <v>51</v>
      </c>
      <c r="B21" t="s">
        <v>162</v>
      </c>
      <c r="C21" t="s">
        <v>169</v>
      </c>
      <c r="D21" t="s">
        <v>69</v>
      </c>
    </row>
    <row r="22" spans="1:4" x14ac:dyDescent="0.3">
      <c r="A22" t="s">
        <v>31</v>
      </c>
      <c r="B22" t="s">
        <v>158</v>
      </c>
      <c r="C22" t="s">
        <v>165</v>
      </c>
      <c r="D22" t="s">
        <v>69</v>
      </c>
    </row>
    <row r="23" spans="1:4" x14ac:dyDescent="0.3">
      <c r="A23" t="s">
        <v>31</v>
      </c>
      <c r="B23" t="s">
        <v>159</v>
      </c>
      <c r="C23" t="s">
        <v>166</v>
      </c>
      <c r="D23" t="s">
        <v>69</v>
      </c>
    </row>
    <row r="24" spans="1:4" x14ac:dyDescent="0.3">
      <c r="C24" t="s">
        <v>170</v>
      </c>
      <c r="D24" t="s">
        <v>2</v>
      </c>
    </row>
    <row r="25" spans="1:4" x14ac:dyDescent="0.3">
      <c r="C25" t="s">
        <v>7</v>
      </c>
      <c r="D25" t="s">
        <v>2</v>
      </c>
    </row>
    <row r="26" spans="1:4" x14ac:dyDescent="0.3">
      <c r="C26" t="s">
        <v>178</v>
      </c>
      <c r="D26" t="s">
        <v>2</v>
      </c>
    </row>
    <row r="27" spans="1:4" x14ac:dyDescent="0.3">
      <c r="C27" t="s">
        <v>208</v>
      </c>
      <c r="D27" t="s">
        <v>2</v>
      </c>
    </row>
    <row r="28" spans="1:4" x14ac:dyDescent="0.3">
      <c r="B28" s="1" t="s">
        <v>120</v>
      </c>
      <c r="C28" t="s">
        <v>209</v>
      </c>
      <c r="D28" t="s">
        <v>69</v>
      </c>
    </row>
    <row r="29" spans="1:4" x14ac:dyDescent="0.3">
      <c r="C29" t="s">
        <v>210</v>
      </c>
      <c r="D29" t="s">
        <v>2</v>
      </c>
    </row>
    <row r="30" spans="1:4" x14ac:dyDescent="0.3">
      <c r="C30" t="s">
        <v>213</v>
      </c>
      <c r="D30" t="s">
        <v>2</v>
      </c>
    </row>
    <row r="31" spans="1:4" x14ac:dyDescent="0.3">
      <c r="C31" t="s">
        <v>214</v>
      </c>
      <c r="D31" t="s">
        <v>69</v>
      </c>
    </row>
  </sheetData>
  <autoFilter ref="A1:D23" xr:uid="{25E7A8D1-1BAA-486D-8428-4EB3EB9E2F2D}">
    <sortState xmlns:xlrd2="http://schemas.microsoft.com/office/spreadsheetml/2017/richdata2" ref="A2:D23">
      <sortCondition ref="D1:D18"/>
    </sortState>
  </autoFilter>
  <hyperlinks>
    <hyperlink ref="C8" r:id="rId1" display="https://tcdb.org/search/result.php?tc=1.C.97" xr:uid="{B6F98290-AB83-4735-B6B5-39C0418AEF4C}"/>
    <hyperlink ref="C9" r:id="rId2" display="https://tcdb.org/search/result.php?tc=1.C.97" xr:uid="{9CC09F92-0631-47C0-84E8-1901A19E4E6A}"/>
    <hyperlink ref="C11" r:id="rId3" display="https://tcdb.org/search/result.php?tc=1.C.97" xr:uid="{98A9CF70-F40F-4264-A1D3-FB70AE036BAF}"/>
    <hyperlink ref="B28" r:id="rId4" display="http://amigo.geneontology.org/amigo/term/GO:0019836" xr:uid="{C5E9C193-D77C-4D27-AC5A-FA48C7BA74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zoomScaleNormal="100" workbookViewId="0">
      <selection activeCell="E27" sqref="E27"/>
    </sheetView>
  </sheetViews>
  <sheetFormatPr defaultRowHeight="14.4" x14ac:dyDescent="0.3"/>
  <cols>
    <col min="1" max="1" width="9" bestFit="1" customWidth="1"/>
    <col min="2" max="2" width="11.6640625" bestFit="1" customWidth="1"/>
    <col min="3" max="3" width="11.5546875" bestFit="1" customWidth="1"/>
    <col min="4" max="4" width="44.88671875" bestFit="1" customWidth="1"/>
    <col min="5" max="5" width="99.5546875" bestFit="1" customWidth="1"/>
    <col min="6" max="6" width="49.33203125" bestFit="1" customWidth="1"/>
  </cols>
  <sheetData>
    <row r="1" spans="1:6" x14ac:dyDescent="0.3">
      <c r="A1" t="s">
        <v>0</v>
      </c>
      <c r="B1">
        <v>460</v>
      </c>
      <c r="C1" t="s">
        <v>30</v>
      </c>
    </row>
    <row r="2" spans="1:6" x14ac:dyDescent="0.3">
      <c r="C2" t="s">
        <v>31</v>
      </c>
      <c r="D2" s="1" t="s">
        <v>32</v>
      </c>
    </row>
    <row r="3" spans="1:6" x14ac:dyDescent="0.3">
      <c r="C3" t="s">
        <v>31</v>
      </c>
      <c r="D3" t="s">
        <v>34</v>
      </c>
      <c r="E3" t="s">
        <v>3</v>
      </c>
    </row>
    <row r="4" spans="1:6" x14ac:dyDescent="0.3">
      <c r="C4" t="s">
        <v>31</v>
      </c>
      <c r="D4" t="s">
        <v>35</v>
      </c>
      <c r="E4" t="s">
        <v>59</v>
      </c>
    </row>
    <row r="5" spans="1:6" x14ac:dyDescent="0.3">
      <c r="C5" t="s">
        <v>31</v>
      </c>
      <c r="D5" s="1" t="s">
        <v>39</v>
      </c>
      <c r="E5" t="s">
        <v>18</v>
      </c>
      <c r="F5" t="s">
        <v>2</v>
      </c>
    </row>
    <row r="6" spans="1:6" x14ac:dyDescent="0.3">
      <c r="C6" t="s">
        <v>31</v>
      </c>
      <c r="D6" s="1" t="s">
        <v>41</v>
      </c>
      <c r="E6" t="s">
        <v>61</v>
      </c>
      <c r="F6" t="s">
        <v>68</v>
      </c>
    </row>
    <row r="7" spans="1:6" x14ac:dyDescent="0.3">
      <c r="C7" t="s">
        <v>31</v>
      </c>
      <c r="D7" s="1" t="s">
        <v>43</v>
      </c>
      <c r="E7" t="s">
        <v>21</v>
      </c>
      <c r="F7" t="s">
        <v>69</v>
      </c>
    </row>
    <row r="8" spans="1:6" x14ac:dyDescent="0.3">
      <c r="C8" t="s">
        <v>31</v>
      </c>
      <c r="D8" s="1" t="s">
        <v>44</v>
      </c>
      <c r="E8" t="s">
        <v>22</v>
      </c>
      <c r="F8" t="s">
        <v>2</v>
      </c>
    </row>
    <row r="9" spans="1:6" x14ac:dyDescent="0.3">
      <c r="C9" t="s">
        <v>31</v>
      </c>
      <c r="D9" s="1" t="s">
        <v>45</v>
      </c>
      <c r="E9" t="s">
        <v>1</v>
      </c>
    </row>
    <row r="10" spans="1:6" x14ac:dyDescent="0.3">
      <c r="C10" t="s">
        <v>51</v>
      </c>
      <c r="D10" s="1" t="s">
        <v>0</v>
      </c>
      <c r="E10" t="s">
        <v>63</v>
      </c>
    </row>
    <row r="11" spans="1:6" x14ac:dyDescent="0.3">
      <c r="C11" t="s">
        <v>51</v>
      </c>
      <c r="D11" t="s">
        <v>56</v>
      </c>
      <c r="E11" t="s">
        <v>17</v>
      </c>
    </row>
    <row r="12" spans="1:6" x14ac:dyDescent="0.3">
      <c r="C12" t="s">
        <v>51</v>
      </c>
      <c r="D12" t="s">
        <v>57</v>
      </c>
      <c r="E12" t="s">
        <v>4</v>
      </c>
    </row>
    <row r="13" spans="1:6" x14ac:dyDescent="0.3">
      <c r="C13" t="s">
        <v>58</v>
      </c>
      <c r="D13" t="s">
        <v>10</v>
      </c>
      <c r="E13" t="s">
        <v>11</v>
      </c>
    </row>
    <row r="14" spans="1:6" x14ac:dyDescent="0.3">
      <c r="C14" t="s">
        <v>58</v>
      </c>
      <c r="D14" t="s">
        <v>6</v>
      </c>
      <c r="E14" t="s">
        <v>7</v>
      </c>
    </row>
    <row r="15" spans="1:6" x14ac:dyDescent="0.3">
      <c r="C15" t="s">
        <v>58</v>
      </c>
      <c r="D15" t="s">
        <v>15</v>
      </c>
      <c r="E15" s="2" t="s">
        <v>65</v>
      </c>
      <c r="F15" t="s">
        <v>66</v>
      </c>
    </row>
    <row r="16" spans="1:6" x14ac:dyDescent="0.3">
      <c r="C16" t="s">
        <v>58</v>
      </c>
      <c r="D16" t="s">
        <v>12</v>
      </c>
      <c r="E16" s="2" t="s">
        <v>65</v>
      </c>
      <c r="F16" t="s">
        <v>67</v>
      </c>
    </row>
    <row r="17" spans="3:6" x14ac:dyDescent="0.3">
      <c r="C17" t="s">
        <v>58</v>
      </c>
      <c r="D17" t="s">
        <v>8</v>
      </c>
      <c r="E17" t="s">
        <v>9</v>
      </c>
    </row>
    <row r="18" spans="3:6" x14ac:dyDescent="0.3">
      <c r="C18" t="s">
        <v>58</v>
      </c>
      <c r="D18" t="s">
        <v>13</v>
      </c>
      <c r="E18" s="2" t="s">
        <v>65</v>
      </c>
      <c r="F18" t="s">
        <v>66</v>
      </c>
    </row>
  </sheetData>
  <hyperlinks>
    <hyperlink ref="E15" r:id="rId1" display="https://tcdb.org/search/result.php?tc=1.C.97" xr:uid="{5A5684C6-2235-42C9-B883-E464954D56A0}"/>
    <hyperlink ref="E16" r:id="rId2" display="https://tcdb.org/search/result.php?tc=1.C.97" xr:uid="{8C265EE9-22C3-4986-9E1E-888F68C548E8}"/>
    <hyperlink ref="E18" r:id="rId3" display="https://tcdb.org/search/result.php?tc=1.C.97" xr:uid="{B0BEF3A8-C7D9-4BA8-8D9B-BA24B25A4FA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AF0D-FCF9-4408-A96D-2967D2442108}">
  <dimension ref="A1:F23"/>
  <sheetViews>
    <sheetView workbookViewId="0">
      <selection activeCell="D2" sqref="D2:F23"/>
    </sheetView>
  </sheetViews>
  <sheetFormatPr defaultRowHeight="14.4" x14ac:dyDescent="0.3"/>
  <cols>
    <col min="1" max="1" width="9.44140625" bestFit="1" customWidth="1"/>
    <col min="2" max="2" width="3" bestFit="1" customWidth="1"/>
    <col min="4" max="4" width="11.88671875" bestFit="1" customWidth="1"/>
    <col min="5" max="5" width="9.44140625" bestFit="1" customWidth="1"/>
    <col min="6" max="6" width="98.109375" bestFit="1" customWidth="1"/>
  </cols>
  <sheetData>
    <row r="1" spans="1:6" x14ac:dyDescent="0.3">
      <c r="A1" s="3" t="s">
        <v>34</v>
      </c>
      <c r="B1">
        <v>50</v>
      </c>
      <c r="D1" t="s">
        <v>14</v>
      </c>
      <c r="E1" t="s">
        <v>84</v>
      </c>
    </row>
    <row r="2" spans="1:6" x14ac:dyDescent="0.3">
      <c r="D2" t="s">
        <v>31</v>
      </c>
      <c r="E2" t="s">
        <v>34</v>
      </c>
      <c r="F2" t="s">
        <v>3</v>
      </c>
    </row>
    <row r="3" spans="1:6" x14ac:dyDescent="0.3">
      <c r="D3" t="s">
        <v>58</v>
      </c>
      <c r="E3" t="s">
        <v>6</v>
      </c>
      <c r="F3" t="s">
        <v>7</v>
      </c>
    </row>
    <row r="4" spans="1:6" x14ac:dyDescent="0.3">
      <c r="D4" t="s">
        <v>58</v>
      </c>
      <c r="E4" t="s">
        <v>13</v>
      </c>
      <c r="F4" t="s">
        <v>65</v>
      </c>
    </row>
    <row r="5" spans="1:6" x14ac:dyDescent="0.3">
      <c r="D5" t="s">
        <v>58</v>
      </c>
      <c r="E5" t="s">
        <v>10</v>
      </c>
      <c r="F5" t="s">
        <v>11</v>
      </c>
    </row>
    <row r="6" spans="1:6" x14ac:dyDescent="0.3">
      <c r="D6" t="s">
        <v>58</v>
      </c>
      <c r="E6" t="s">
        <v>12</v>
      </c>
      <c r="F6" t="s">
        <v>65</v>
      </c>
    </row>
    <row r="9" spans="1:6" x14ac:dyDescent="0.3">
      <c r="D9" t="s">
        <v>31</v>
      </c>
      <c r="E9" t="s">
        <v>32</v>
      </c>
      <c r="F9" t="s">
        <v>16</v>
      </c>
    </row>
    <row r="10" spans="1:6" x14ac:dyDescent="0.3">
      <c r="D10" t="s">
        <v>31</v>
      </c>
      <c r="E10" t="s">
        <v>40</v>
      </c>
      <c r="F10" t="s">
        <v>60</v>
      </c>
    </row>
    <row r="11" spans="1:6" x14ac:dyDescent="0.3">
      <c r="D11" t="s">
        <v>31</v>
      </c>
      <c r="E11" t="s">
        <v>76</v>
      </c>
      <c r="F11" t="s">
        <v>85</v>
      </c>
    </row>
    <row r="12" spans="1:6" x14ac:dyDescent="0.3">
      <c r="D12" t="s">
        <v>31</v>
      </c>
      <c r="E12" t="s">
        <v>79</v>
      </c>
      <c r="F12" t="s">
        <v>86</v>
      </c>
    </row>
    <row r="13" spans="1:6" x14ac:dyDescent="0.3">
      <c r="D13" t="s">
        <v>31</v>
      </c>
      <c r="E13" t="s">
        <v>80</v>
      </c>
      <c r="F13" t="s">
        <v>87</v>
      </c>
    </row>
    <row r="14" spans="1:6" x14ac:dyDescent="0.3">
      <c r="D14" t="s">
        <v>31</v>
      </c>
      <c r="E14" t="s">
        <v>81</v>
      </c>
      <c r="F14" t="s">
        <v>88</v>
      </c>
    </row>
    <row r="15" spans="1:6" x14ac:dyDescent="0.3">
      <c r="D15" t="s">
        <v>31</v>
      </c>
      <c r="E15" t="s">
        <v>82</v>
      </c>
      <c r="F15" t="s">
        <v>89</v>
      </c>
    </row>
    <row r="16" spans="1:6" x14ac:dyDescent="0.3">
      <c r="D16" t="s">
        <v>72</v>
      </c>
      <c r="E16" t="s">
        <v>73</v>
      </c>
      <c r="F16" t="s">
        <v>90</v>
      </c>
    </row>
    <row r="17" spans="4:6" x14ac:dyDescent="0.3">
      <c r="D17" t="s">
        <v>49</v>
      </c>
      <c r="E17" t="s">
        <v>74</v>
      </c>
      <c r="F17" t="s">
        <v>91</v>
      </c>
    </row>
    <row r="18" spans="4:6" x14ac:dyDescent="0.3">
      <c r="D18" t="s">
        <v>49</v>
      </c>
      <c r="E18" t="s">
        <v>75</v>
      </c>
      <c r="F18" t="s">
        <v>92</v>
      </c>
    </row>
    <row r="19" spans="4:6" x14ac:dyDescent="0.3">
      <c r="D19" t="s">
        <v>77</v>
      </c>
      <c r="E19" t="s">
        <v>78</v>
      </c>
    </row>
    <row r="20" spans="4:6" x14ac:dyDescent="0.3">
      <c r="D20" t="s">
        <v>51</v>
      </c>
      <c r="E20" t="s">
        <v>0</v>
      </c>
      <c r="F20" t="str">
        <f>_xlfn.XLOOKUP(E20,'Upoštevane Anotacije'!B:B,'Upoštevane Anotacije'!C:C)</f>
        <v>MAC/Perforin domain</v>
      </c>
    </row>
    <row r="21" spans="4:6" x14ac:dyDescent="0.3">
      <c r="D21" t="s">
        <v>51</v>
      </c>
      <c r="E21" t="s">
        <v>71</v>
      </c>
      <c r="F21" t="s">
        <v>93</v>
      </c>
    </row>
    <row r="22" spans="4:6" x14ac:dyDescent="0.3">
      <c r="D22" t="s">
        <v>51</v>
      </c>
      <c r="E22" t="s">
        <v>83</v>
      </c>
      <c r="F22" t="s">
        <v>94</v>
      </c>
    </row>
    <row r="23" spans="4:6" x14ac:dyDescent="0.3">
      <c r="D23" t="s">
        <v>51</v>
      </c>
      <c r="E23" t="s">
        <v>70</v>
      </c>
      <c r="F23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396F-2F77-4B64-8EC4-EE6158542322}">
  <dimension ref="A1:D23"/>
  <sheetViews>
    <sheetView workbookViewId="0">
      <selection activeCell="A12" sqref="A12:C23"/>
    </sheetView>
  </sheetViews>
  <sheetFormatPr defaultRowHeight="14.4" x14ac:dyDescent="0.3"/>
  <cols>
    <col min="1" max="1" width="66" bestFit="1" customWidth="1"/>
    <col min="2" max="2" width="9.6640625" bestFit="1" customWidth="1"/>
    <col min="3" max="3" width="66" bestFit="1" customWidth="1"/>
    <col min="4" max="4" width="16.44140625" bestFit="1" customWidth="1"/>
    <col min="5" max="5" width="20.6640625" bestFit="1" customWidth="1"/>
    <col min="6" max="6" width="14" bestFit="1" customWidth="1"/>
    <col min="7" max="7" width="17.44140625" bestFit="1" customWidth="1"/>
    <col min="8" max="8" width="13.44140625" bestFit="1" customWidth="1"/>
    <col min="9" max="12" width="14" bestFit="1" customWidth="1"/>
    <col min="13" max="14" width="11.88671875" bestFit="1" customWidth="1"/>
  </cols>
  <sheetData>
    <row r="1" spans="1:4" x14ac:dyDescent="0.3">
      <c r="A1" s="1" t="s">
        <v>44</v>
      </c>
      <c r="B1">
        <v>6</v>
      </c>
    </row>
    <row r="2" spans="1:4" x14ac:dyDescent="0.3">
      <c r="A2" t="s">
        <v>22</v>
      </c>
    </row>
    <row r="5" spans="1:4" x14ac:dyDescent="0.3">
      <c r="A5" t="s">
        <v>97</v>
      </c>
      <c r="B5" t="s">
        <v>98</v>
      </c>
    </row>
    <row r="6" spans="1:4" x14ac:dyDescent="0.3">
      <c r="A6" t="s">
        <v>31</v>
      </c>
      <c r="B6" t="s">
        <v>44</v>
      </c>
      <c r="C6" t="s">
        <v>22</v>
      </c>
      <c r="D6" t="str">
        <f>_xlfn.XLOOKUP(B6,'Upoštevane Anotacije'!B:B,'Upoštevane Anotacije'!D:D)</f>
        <v>da</v>
      </c>
    </row>
    <row r="7" spans="1:4" x14ac:dyDescent="0.3">
      <c r="A7" t="s">
        <v>51</v>
      </c>
      <c r="B7" t="s">
        <v>0</v>
      </c>
      <c r="C7" t="s">
        <v>63</v>
      </c>
      <c r="D7" t="str">
        <f>_xlfn.XLOOKUP(B7,'Upoštevane Anotacije'!B:B,'Upoštevane Anotacije'!D:D)</f>
        <v>da</v>
      </c>
    </row>
    <row r="8" spans="1:4" x14ac:dyDescent="0.3">
      <c r="A8" t="s">
        <v>31</v>
      </c>
      <c r="B8" t="s">
        <v>45</v>
      </c>
      <c r="C8" t="s">
        <v>1</v>
      </c>
      <c r="D8" t="str">
        <f>_xlfn.XLOOKUP(B8,'Upoštevane Anotacije'!B:B,'Upoštevane Anotacije'!D:D)</f>
        <v>da</v>
      </c>
    </row>
    <row r="9" spans="1:4" x14ac:dyDescent="0.3">
      <c r="A9" t="s">
        <v>51</v>
      </c>
      <c r="B9" t="s">
        <v>56</v>
      </c>
      <c r="C9" t="s">
        <v>17</v>
      </c>
      <c r="D9" t="str">
        <f>_xlfn.XLOOKUP(B9,'Upoštevane Anotacije'!B:B,'Upoštevane Anotacije'!D:D)</f>
        <v>ne</v>
      </c>
    </row>
    <row r="12" spans="1:4" x14ac:dyDescent="0.3">
      <c r="A12" t="s">
        <v>31</v>
      </c>
      <c r="B12" t="s">
        <v>37</v>
      </c>
      <c r="C12" t="s">
        <v>20</v>
      </c>
      <c r="D12" t="e">
        <f>_xlfn.XLOOKUP(B12,'Upoštevane Anotacije'!B:B,'Upoštevane Anotacije'!D:D)</f>
        <v>#N/A</v>
      </c>
    </row>
    <row r="13" spans="1:4" x14ac:dyDescent="0.3">
      <c r="A13" t="s">
        <v>31</v>
      </c>
      <c r="B13" t="s">
        <v>39</v>
      </c>
      <c r="C13" t="s">
        <v>18</v>
      </c>
      <c r="D13" t="str">
        <f>_xlfn.XLOOKUP(B13,'Upoštevane Anotacije'!B:B,'Upoštevane Anotacije'!D:D)</f>
        <v>ne</v>
      </c>
    </row>
    <row r="14" spans="1:4" x14ac:dyDescent="0.3">
      <c r="A14" t="s">
        <v>31</v>
      </c>
      <c r="B14" t="s">
        <v>99</v>
      </c>
      <c r="C14" t="s">
        <v>107</v>
      </c>
      <c r="D14" t="e">
        <f>_xlfn.XLOOKUP(B14,'Upoštevane Anotacije'!B:B,'Upoštevane Anotacije'!D:D)</f>
        <v>#N/A</v>
      </c>
    </row>
    <row r="15" spans="1:4" x14ac:dyDescent="0.3">
      <c r="A15" t="s">
        <v>31</v>
      </c>
      <c r="B15" t="s">
        <v>46</v>
      </c>
      <c r="C15" t="s">
        <v>5</v>
      </c>
      <c r="D15" t="e">
        <f>_xlfn.XLOOKUP(B15,'Upoštevane Anotacije'!B:B,'Upoštevane Anotacije'!D:D)</f>
        <v>#N/A</v>
      </c>
    </row>
    <row r="16" spans="1:4" x14ac:dyDescent="0.3">
      <c r="A16" t="s">
        <v>31</v>
      </c>
      <c r="B16" t="s">
        <v>103</v>
      </c>
      <c r="C16" t="s">
        <v>113</v>
      </c>
      <c r="D16" t="e">
        <f>_xlfn.XLOOKUP(B16,'Upoštevane Anotacije'!B:B,'Upoštevane Anotacije'!D:D)</f>
        <v>#N/A</v>
      </c>
    </row>
    <row r="17" spans="1:4" x14ac:dyDescent="0.3">
      <c r="A17" t="s">
        <v>31</v>
      </c>
      <c r="B17" t="s">
        <v>104</v>
      </c>
      <c r="C17" t="s">
        <v>108</v>
      </c>
      <c r="D17" t="e">
        <f>_xlfn.XLOOKUP(B17,'Upoštevane Anotacije'!B:B,'Upoštevane Anotacije'!D:D)</f>
        <v>#N/A</v>
      </c>
    </row>
    <row r="18" spans="1:4" x14ac:dyDescent="0.3">
      <c r="A18" t="s">
        <v>72</v>
      </c>
      <c r="B18" t="s">
        <v>100</v>
      </c>
      <c r="C18" t="s">
        <v>112</v>
      </c>
      <c r="D18" t="e">
        <f>_xlfn.XLOOKUP(B18,'Upoštevane Anotacije'!B:B,'Upoštevane Anotacije'!D:D)</f>
        <v>#N/A</v>
      </c>
    </row>
    <row r="19" spans="1:4" x14ac:dyDescent="0.3">
      <c r="A19" t="s">
        <v>49</v>
      </c>
      <c r="B19" t="s">
        <v>102</v>
      </c>
      <c r="C19" t="s">
        <v>111</v>
      </c>
      <c r="D19" t="e">
        <f>_xlfn.XLOOKUP(B19,'Upoštevane Anotacije'!B:B,'Upoštevane Anotacije'!D:D)</f>
        <v>#N/A</v>
      </c>
    </row>
    <row r="20" spans="1:4" x14ac:dyDescent="0.3">
      <c r="A20" t="s">
        <v>51</v>
      </c>
      <c r="B20" t="s">
        <v>101</v>
      </c>
      <c r="C20" t="s">
        <v>109</v>
      </c>
      <c r="D20" t="e">
        <f>_xlfn.XLOOKUP(B20,'Upoštevane Anotacije'!B:B,'Upoštevane Anotacije'!D:D)</f>
        <v>#N/A</v>
      </c>
    </row>
    <row r="21" spans="1:4" x14ac:dyDescent="0.3">
      <c r="A21" t="s">
        <v>51</v>
      </c>
      <c r="B21" t="s">
        <v>53</v>
      </c>
      <c r="C21" t="s">
        <v>19</v>
      </c>
      <c r="D21" t="e">
        <f>_xlfn.XLOOKUP(B21,'Upoštevane Anotacije'!B:B,'Upoštevane Anotacije'!D:D)</f>
        <v>#N/A</v>
      </c>
    </row>
    <row r="22" spans="1:4" x14ac:dyDescent="0.3">
      <c r="A22" t="s">
        <v>51</v>
      </c>
      <c r="B22" t="s">
        <v>105</v>
      </c>
      <c r="C22" t="s">
        <v>109</v>
      </c>
      <c r="D22" t="e">
        <f>_xlfn.XLOOKUP(B22,'Upoštevane Anotacije'!B:B,'Upoštevane Anotacije'!D:D)</f>
        <v>#N/A</v>
      </c>
    </row>
    <row r="23" spans="1:4" x14ac:dyDescent="0.3">
      <c r="A23" t="s">
        <v>51</v>
      </c>
      <c r="B23" t="s">
        <v>106</v>
      </c>
      <c r="C23" t="s">
        <v>110</v>
      </c>
      <c r="D23" t="e">
        <f>_xlfn.XLOOKUP(B23,'Upoštevane Anotacije'!B:B,'Upoštevane Anotacije'!D:D)</f>
        <v>#N/A</v>
      </c>
    </row>
  </sheetData>
  <sortState xmlns:xlrd2="http://schemas.microsoft.com/office/spreadsheetml/2017/richdata2" ref="A12:B23">
    <sortCondition ref="A11:A2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137B-A8BB-4609-9DE5-0F36AFC916EC}">
  <dimension ref="A1:D32"/>
  <sheetViews>
    <sheetView workbookViewId="0">
      <selection activeCell="C42" sqref="C42"/>
    </sheetView>
  </sheetViews>
  <sheetFormatPr defaultRowHeight="14.4" x14ac:dyDescent="0.3"/>
  <cols>
    <col min="1" max="1" width="60.109375" bestFit="1" customWidth="1"/>
    <col min="2" max="2" width="14.6640625" bestFit="1" customWidth="1"/>
    <col min="3" max="3" width="9.44140625" bestFit="1" customWidth="1"/>
    <col min="4" max="4" width="98.109375" bestFit="1" customWidth="1"/>
  </cols>
  <sheetData>
    <row r="1" spans="1:4" x14ac:dyDescent="0.3">
      <c r="A1" s="1" t="s">
        <v>45</v>
      </c>
    </row>
    <row r="2" spans="1:4" x14ac:dyDescent="0.3">
      <c r="A2" t="s">
        <v>1</v>
      </c>
    </row>
    <row r="3" spans="1:4" x14ac:dyDescent="0.3">
      <c r="A3">
        <v>423</v>
      </c>
      <c r="B3" t="s">
        <v>14</v>
      </c>
    </row>
    <row r="4" spans="1:4" x14ac:dyDescent="0.3">
      <c r="B4" t="s">
        <v>51</v>
      </c>
      <c r="C4" t="s">
        <v>56</v>
      </c>
      <c r="D4" t="s">
        <v>17</v>
      </c>
    </row>
    <row r="5" spans="1:4" x14ac:dyDescent="0.3">
      <c r="B5" t="s">
        <v>51</v>
      </c>
      <c r="C5" t="s">
        <v>57</v>
      </c>
      <c r="D5" t="s">
        <v>4</v>
      </c>
    </row>
    <row r="6" spans="1:4" x14ac:dyDescent="0.3">
      <c r="B6" t="s">
        <v>58</v>
      </c>
      <c r="C6" t="s">
        <v>10</v>
      </c>
      <c r="D6" t="str">
        <f>_xlfn.XLOOKUP(C6,'Vse Anotacije'!B:B,'Vse Anotacije'!C:C,"")</f>
        <v>Chain A, MACPF perforin-like protein, Plu-MACPF (structure solved to 2.0 Å resolution; Rosado et al., 2007).</v>
      </c>
    </row>
    <row r="7" spans="1:4" x14ac:dyDescent="0.3">
      <c r="B7" t="s">
        <v>58</v>
      </c>
      <c r="C7" t="s">
        <v>6</v>
      </c>
      <c r="D7" t="str">
        <f>_xlfn.XLOOKUP(C7,'Vse Anotacije'!B:B,'Vse Anotacije'!C:C,"")</f>
        <v>MACPF homologue</v>
      </c>
    </row>
    <row r="8" spans="1:4" x14ac:dyDescent="0.3">
      <c r="B8" t="s">
        <v>58</v>
      </c>
      <c r="C8" t="s">
        <v>15</v>
      </c>
      <c r="D8" t="s">
        <v>114</v>
      </c>
    </row>
    <row r="9" spans="1:4" x14ac:dyDescent="0.3">
      <c r="B9" t="s">
        <v>58</v>
      </c>
      <c r="C9" t="s">
        <v>12</v>
      </c>
      <c r="D9" t="str">
        <f>_xlfn.XLOOKUP(C9,'Vse Anotacije'!B:B,'Vse Anotacije'!C:C,"")</f>
        <v>2 component system: The Pleurotolysin Pore-forming (Pleurotolysin) Family</v>
      </c>
    </row>
    <row r="10" spans="1:4" x14ac:dyDescent="0.3">
      <c r="B10" t="s">
        <v>58</v>
      </c>
      <c r="C10" t="s">
        <v>8</v>
      </c>
      <c r="D10" t="s">
        <v>9</v>
      </c>
    </row>
    <row r="11" spans="1:4" x14ac:dyDescent="0.3">
      <c r="B11" t="s">
        <v>31</v>
      </c>
      <c r="C11" t="s">
        <v>44</v>
      </c>
      <c r="D11" t="s">
        <v>22</v>
      </c>
    </row>
    <row r="12" spans="1:4" x14ac:dyDescent="0.3">
      <c r="B12" t="s">
        <v>31</v>
      </c>
      <c r="C12" t="s">
        <v>45</v>
      </c>
      <c r="D12" t="s">
        <v>1</v>
      </c>
    </row>
    <row r="13" spans="1:4" x14ac:dyDescent="0.3">
      <c r="B13" t="s">
        <v>51</v>
      </c>
      <c r="C13" t="s">
        <v>0</v>
      </c>
      <c r="D13" t="s">
        <v>63</v>
      </c>
    </row>
    <row r="14" spans="1:4" x14ac:dyDescent="0.3">
      <c r="B14" t="s">
        <v>31</v>
      </c>
      <c r="C14" t="s">
        <v>39</v>
      </c>
      <c r="D14" t="str">
        <f>_xlfn.XLOOKUP(C14,'Vse Anotacije'!B:B,'Vse Anotacije'!C:C,"")</f>
        <v>AIG1-type guanine nucleotide-binding (G) domain</v>
      </c>
    </row>
    <row r="17" spans="2:4" x14ac:dyDescent="0.3">
      <c r="B17" t="s">
        <v>31</v>
      </c>
      <c r="C17" t="s">
        <v>33</v>
      </c>
      <c r="D17" t="s">
        <v>28</v>
      </c>
    </row>
    <row r="18" spans="2:4" x14ac:dyDescent="0.3">
      <c r="B18" t="s">
        <v>31</v>
      </c>
      <c r="C18" t="s">
        <v>35</v>
      </c>
      <c r="D18" t="s">
        <v>59</v>
      </c>
    </row>
    <row r="19" spans="2:4" x14ac:dyDescent="0.3">
      <c r="B19" t="s">
        <v>31</v>
      </c>
      <c r="C19" t="s">
        <v>36</v>
      </c>
      <c r="D19" t="s">
        <v>27</v>
      </c>
    </row>
    <row r="20" spans="2:4" x14ac:dyDescent="0.3">
      <c r="B20" t="s">
        <v>31</v>
      </c>
      <c r="C20" t="s">
        <v>37</v>
      </c>
      <c r="D20" t="str">
        <f>_xlfn.XLOOKUP(C20,'Vse Anotacije'!B:B,'Vse Anotacije'!C:C,"")</f>
        <v>GTP binding domain</v>
      </c>
    </row>
    <row r="21" spans="2:4" x14ac:dyDescent="0.3">
      <c r="B21" t="s">
        <v>31</v>
      </c>
      <c r="C21" t="s">
        <v>38</v>
      </c>
      <c r="D21" t="s">
        <v>26</v>
      </c>
    </row>
    <row r="22" spans="2:4" x14ac:dyDescent="0.3">
      <c r="B22" t="s">
        <v>31</v>
      </c>
      <c r="C22" t="s">
        <v>41</v>
      </c>
      <c r="D22" t="s">
        <v>61</v>
      </c>
    </row>
    <row r="23" spans="2:4" x14ac:dyDescent="0.3">
      <c r="B23" t="s">
        <v>31</v>
      </c>
      <c r="C23" t="s">
        <v>42</v>
      </c>
      <c r="D23" t="s">
        <v>29</v>
      </c>
    </row>
    <row r="24" spans="2:4" x14ac:dyDescent="0.3">
      <c r="B24" t="s">
        <v>31</v>
      </c>
      <c r="C24" t="s">
        <v>43</v>
      </c>
      <c r="D24" t="s">
        <v>21</v>
      </c>
    </row>
    <row r="25" spans="2:4" x14ac:dyDescent="0.3">
      <c r="B25" t="s">
        <v>31</v>
      </c>
      <c r="C25" t="s">
        <v>46</v>
      </c>
      <c r="D25" t="str">
        <f>_xlfn.XLOOKUP(C25,'Vse Anotacije'!B:B,'Vse Anotacije'!C:C,"")</f>
        <v>P-loop containing nucleoside triphosphate hydrolase</v>
      </c>
    </row>
    <row r="26" spans="2:4" x14ac:dyDescent="0.3">
      <c r="B26" t="s">
        <v>31</v>
      </c>
      <c r="C26" t="s">
        <v>47</v>
      </c>
      <c r="D26" t="s">
        <v>62</v>
      </c>
    </row>
    <row r="27" spans="2:4" x14ac:dyDescent="0.3">
      <c r="B27" t="s">
        <v>31</v>
      </c>
      <c r="C27" t="s">
        <v>48</v>
      </c>
      <c r="D27" t="s">
        <v>24</v>
      </c>
    </row>
    <row r="28" spans="2:4" x14ac:dyDescent="0.3">
      <c r="B28" t="s">
        <v>49</v>
      </c>
      <c r="C28" t="s">
        <v>50</v>
      </c>
      <c r="D28" t="str">
        <f>_xlfn.XLOOKUP(C28,'Vse Anotacije'!B:B,'Vse Anotacije'!C:C,"")</f>
        <v/>
      </c>
    </row>
    <row r="29" spans="2:4" x14ac:dyDescent="0.3">
      <c r="B29" t="s">
        <v>51</v>
      </c>
      <c r="C29" t="s">
        <v>52</v>
      </c>
      <c r="D29" t="s">
        <v>23</v>
      </c>
    </row>
    <row r="30" spans="2:4" x14ac:dyDescent="0.3">
      <c r="B30" t="s">
        <v>51</v>
      </c>
      <c r="C30" t="s">
        <v>53</v>
      </c>
      <c r="D30" t="str">
        <f>_xlfn.XLOOKUP(C30,'Vse Anotacije'!B:B,'Vse Anotacije'!C:C,"")</f>
        <v>50S ribosome-binding GTPase</v>
      </c>
    </row>
    <row r="31" spans="2:4" x14ac:dyDescent="0.3">
      <c r="B31" t="s">
        <v>51</v>
      </c>
      <c r="C31" t="s">
        <v>54</v>
      </c>
      <c r="D31" t="s">
        <v>64</v>
      </c>
    </row>
    <row r="32" spans="2:4" x14ac:dyDescent="0.3">
      <c r="B32" t="s">
        <v>51</v>
      </c>
      <c r="C32" t="s">
        <v>55</v>
      </c>
      <c r="D32" t="s">
        <v>25</v>
      </c>
    </row>
  </sheetData>
  <sortState xmlns:xlrd2="http://schemas.microsoft.com/office/spreadsheetml/2017/richdata2" ref="B3">
    <sortCondition ref="B3"/>
  </sortState>
  <hyperlinks>
    <hyperlink ref="D8" r:id="rId1" display="https://tcdb.org/search/result.php?tc=1.C.97" xr:uid="{1EA23539-C249-48F5-8F4B-7BEB70E6C7F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0A24-1D62-4126-B892-10FC8F3546CE}">
  <dimension ref="A1:E5"/>
  <sheetViews>
    <sheetView workbookViewId="0">
      <selection activeCell="H6" sqref="H6"/>
    </sheetView>
  </sheetViews>
  <sheetFormatPr defaultRowHeight="14.4" x14ac:dyDescent="0.3"/>
  <cols>
    <col min="2" max="2" width="90.88671875" bestFit="1" customWidth="1"/>
    <col min="3" max="3" width="14.44140625" bestFit="1" customWidth="1"/>
    <col min="4" max="4" width="13.33203125" bestFit="1" customWidth="1"/>
    <col min="5" max="5" width="11.33203125" bestFit="1" customWidth="1"/>
  </cols>
  <sheetData>
    <row r="1" spans="1:5" x14ac:dyDescent="0.3">
      <c r="A1" t="s">
        <v>10</v>
      </c>
      <c r="B1" t="s">
        <v>117</v>
      </c>
      <c r="C1" t="s">
        <v>14</v>
      </c>
    </row>
    <row r="2" spans="1:5" x14ac:dyDescent="0.3">
      <c r="A2" t="s">
        <v>116</v>
      </c>
      <c r="C2" t="s">
        <v>58</v>
      </c>
      <c r="D2" t="s">
        <v>10</v>
      </c>
      <c r="E2" t="str">
        <f>_xlfn.XLOOKUP(D2,'Vse Anotacije'!B:B,'Vse Anotacije'!C:C)</f>
        <v>Chain A, MACPF perforin-like protein, Plu-MACPF (structure solved to 2.0 Å resolution; Rosado et al., 2007).</v>
      </c>
    </row>
    <row r="3" spans="1:5" x14ac:dyDescent="0.3">
      <c r="C3" t="s">
        <v>31</v>
      </c>
      <c r="D3" t="s">
        <v>45</v>
      </c>
      <c r="E3" t="str">
        <f>_xlfn.XLOOKUP(D3,'Vse Anotacije'!B:B,'Vse Anotacije'!C:C)</f>
        <v>Membrane attack complex component/perforin (MACPF) domain</v>
      </c>
    </row>
    <row r="4" spans="1:5" x14ac:dyDescent="0.3">
      <c r="C4" t="s">
        <v>31</v>
      </c>
      <c r="D4" t="s">
        <v>34</v>
      </c>
      <c r="E4" t="str">
        <f>_xlfn.XLOOKUP(D4,'Vse Anotacije'!B:B,'Vse Anotacije'!C:C)</f>
        <v>Membrane attack complex component/perforin/complement C9</v>
      </c>
    </row>
    <row r="5" spans="1:5" x14ac:dyDescent="0.3">
      <c r="C5" t="s">
        <v>51</v>
      </c>
      <c r="D5" t="s">
        <v>0</v>
      </c>
      <c r="E5" t="str">
        <f>_xlfn.XLOOKUP(D5,'Vse Anotacije'!B:B,'Vse Anotacije'!C:C)</f>
        <v>MAC/Perforin domain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1C438-931F-429E-98CA-AF9C955A56D5}">
  <dimension ref="A1:E10"/>
  <sheetViews>
    <sheetView workbookViewId="0">
      <selection activeCell="C6" sqref="C6"/>
    </sheetView>
  </sheetViews>
  <sheetFormatPr defaultRowHeight="14.4" x14ac:dyDescent="0.3"/>
  <cols>
    <col min="2" max="2" width="16.5546875" bestFit="1" customWidth="1"/>
    <col min="3" max="3" width="97.109375" bestFit="1" customWidth="1"/>
    <col min="4" max="4" width="9.33203125" bestFit="1" customWidth="1"/>
  </cols>
  <sheetData>
    <row r="1" spans="1:5" x14ac:dyDescent="0.3">
      <c r="A1" t="s">
        <v>6</v>
      </c>
      <c r="B1" t="s">
        <v>7</v>
      </c>
      <c r="C1" t="s">
        <v>14</v>
      </c>
    </row>
    <row r="2" spans="1:5" x14ac:dyDescent="0.3">
      <c r="A2">
        <v>229</v>
      </c>
      <c r="C2" t="s">
        <v>31</v>
      </c>
      <c r="D2" t="s">
        <v>32</v>
      </c>
      <c r="E2" t="str">
        <f>_xlfn.XLOOKUP(D2,'Vse Anotacije'!B:B,'Vse Anotacije'!C:C)</f>
        <v>Cystatin domain</v>
      </c>
    </row>
    <row r="3" spans="1:5" x14ac:dyDescent="0.3">
      <c r="C3" t="s">
        <v>31</v>
      </c>
      <c r="D3" t="s">
        <v>34</v>
      </c>
      <c r="E3" t="str">
        <f>_xlfn.XLOOKUP(D3,'Vse Anotacije'!B:B,'Vse Anotacije'!C:C)</f>
        <v>Membrane attack complex component/perforin/complement C9</v>
      </c>
    </row>
    <row r="4" spans="1:5" x14ac:dyDescent="0.3">
      <c r="C4" t="s">
        <v>31</v>
      </c>
      <c r="D4" t="s">
        <v>40</v>
      </c>
      <c r="E4" t="str">
        <f>_xlfn.XLOOKUP(D4,'Vse Anotacije'!B:B,'Vse Anotacije'!C:C)</f>
        <v>Transketolase C-terminal/Pyruvate-ferredoxin oxidoreductase domain II</v>
      </c>
    </row>
    <row r="5" spans="1:5" x14ac:dyDescent="0.3">
      <c r="C5" t="s">
        <v>31</v>
      </c>
      <c r="D5" t="s">
        <v>43</v>
      </c>
      <c r="E5" t="str">
        <f>_xlfn.XLOOKUP(D5,'Vse Anotacije'!B:B,'Vse Anotacije'!C:C)</f>
        <v>Protein-tyrosine phosphatase, active site</v>
      </c>
    </row>
    <row r="6" spans="1:5" x14ac:dyDescent="0.3">
      <c r="C6" t="s">
        <v>31</v>
      </c>
      <c r="D6" t="s">
        <v>45</v>
      </c>
      <c r="E6" t="str">
        <f>_xlfn.XLOOKUP(D6,'Vse Anotacije'!B:B,'Vse Anotacije'!C:C)</f>
        <v>Membrane attack complex component/perforin (MACPF) domain</v>
      </c>
    </row>
    <row r="7" spans="1:5" x14ac:dyDescent="0.3">
      <c r="C7" t="s">
        <v>31</v>
      </c>
      <c r="D7" t="s">
        <v>47</v>
      </c>
      <c r="E7" t="str">
        <f>_xlfn.XLOOKUP(D7,'Vse Anotacije'!B:B,'Vse Anotacije'!C:C)</f>
        <v>Protein-tyrosine phosphatase-like</v>
      </c>
    </row>
    <row r="8" spans="1:5" x14ac:dyDescent="0.3">
      <c r="C8" t="s">
        <v>49</v>
      </c>
      <c r="D8" t="s">
        <v>119</v>
      </c>
      <c r="E8" t="str">
        <f>_xlfn.XLOOKUP(D8,'Vse Anotacije'!B:B,'Vse Anotacije'!C:C)</f>
        <v>Rho GTPase effector BNI1 and related formins</v>
      </c>
    </row>
    <row r="9" spans="1:5" x14ac:dyDescent="0.3">
      <c r="C9" t="s">
        <v>51</v>
      </c>
      <c r="D9" t="s">
        <v>0</v>
      </c>
      <c r="E9" t="str">
        <f>_xlfn.XLOOKUP(D9,'Vse Anotacije'!B:B,'Vse Anotacije'!C:C)</f>
        <v>MAC/Perforin domain</v>
      </c>
    </row>
    <row r="10" spans="1:5" x14ac:dyDescent="0.3">
      <c r="C10" t="s">
        <v>58</v>
      </c>
      <c r="D10" t="s">
        <v>6</v>
      </c>
      <c r="E10" t="str">
        <f>_xlfn.XLOOKUP(D10,'Vse Anotacije'!B:B,'Vse Anotacije'!C:C)</f>
        <v>MACPF homologue</v>
      </c>
    </row>
  </sheetData>
  <sortState xmlns:xlrd2="http://schemas.microsoft.com/office/spreadsheetml/2017/richdata2" ref="C2:C10">
    <sortCondition ref="C2:C10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92C1-9194-4659-9E90-C7F60DFF98E4}">
  <dimension ref="A1:E18"/>
  <sheetViews>
    <sheetView workbookViewId="0">
      <selection activeCell="E20" sqref="E20"/>
    </sheetView>
  </sheetViews>
  <sheetFormatPr defaultRowHeight="14.4" x14ac:dyDescent="0.3"/>
  <cols>
    <col min="1" max="1" width="9.33203125" bestFit="1" customWidth="1"/>
    <col min="2" max="2" width="63.33203125" bestFit="1" customWidth="1"/>
    <col min="3" max="3" width="88.44140625" bestFit="1" customWidth="1"/>
    <col min="5" max="5" width="55.21875" bestFit="1" customWidth="1"/>
  </cols>
  <sheetData>
    <row r="1" spans="1:5" x14ac:dyDescent="0.3">
      <c r="A1" t="s">
        <v>15</v>
      </c>
      <c r="B1" s="2" t="s">
        <v>65</v>
      </c>
      <c r="C1" t="s">
        <v>14</v>
      </c>
    </row>
    <row r="2" spans="1:5" x14ac:dyDescent="0.3">
      <c r="A2">
        <v>227</v>
      </c>
      <c r="C2" t="s">
        <v>58</v>
      </c>
      <c r="D2" t="s">
        <v>15</v>
      </c>
      <c r="E2" t="str">
        <f>_xlfn.XLOOKUP(D2,'Vse Anotacije'!B:B,'Vse Anotacije'!C:C)</f>
        <v>The Pleurotolysin Pore-forming (Pleurotolysin) Family</v>
      </c>
    </row>
    <row r="3" spans="1:5" x14ac:dyDescent="0.3">
      <c r="C3" t="s">
        <v>51</v>
      </c>
      <c r="D3" t="s">
        <v>0</v>
      </c>
      <c r="E3" t="str">
        <f>_xlfn.XLOOKUP(D3,'Vse Anotacije'!B:B,'Vse Anotacije'!C:C)</f>
        <v>MAC/Perforin domain</v>
      </c>
    </row>
    <row r="4" spans="1:5" x14ac:dyDescent="0.3">
      <c r="C4" t="s">
        <v>51</v>
      </c>
      <c r="D4" t="s">
        <v>130</v>
      </c>
      <c r="E4" t="s">
        <v>140</v>
      </c>
    </row>
    <row r="5" spans="1:5" x14ac:dyDescent="0.3">
      <c r="C5" t="s">
        <v>31</v>
      </c>
      <c r="D5" t="s">
        <v>45</v>
      </c>
      <c r="E5" t="str">
        <f>_xlfn.XLOOKUP(D5,'Vse Anotacije'!B:B,'Vse Anotacije'!C:C)</f>
        <v>Membrane attack complex component/perforin (MACPF) domain</v>
      </c>
    </row>
    <row r="6" spans="1:5" x14ac:dyDescent="0.3">
      <c r="C6" t="s">
        <v>31</v>
      </c>
      <c r="D6" t="s">
        <v>124</v>
      </c>
      <c r="E6" t="s">
        <v>135</v>
      </c>
    </row>
    <row r="7" spans="1:5" x14ac:dyDescent="0.3">
      <c r="C7" t="s">
        <v>31</v>
      </c>
      <c r="D7" t="s">
        <v>122</v>
      </c>
      <c r="E7" t="s">
        <v>4</v>
      </c>
    </row>
    <row r="10" spans="1:5" x14ac:dyDescent="0.3">
      <c r="C10" t="s">
        <v>31</v>
      </c>
      <c r="D10" t="s">
        <v>121</v>
      </c>
      <c r="E10" t="s">
        <v>133</v>
      </c>
    </row>
    <row r="11" spans="1:5" x14ac:dyDescent="0.3">
      <c r="C11" t="s">
        <v>31</v>
      </c>
      <c r="D11" t="s">
        <v>123</v>
      </c>
      <c r="E11" t="s">
        <v>134</v>
      </c>
    </row>
    <row r="12" spans="1:5" x14ac:dyDescent="0.3">
      <c r="C12" t="s">
        <v>31</v>
      </c>
      <c r="D12" t="s">
        <v>125</v>
      </c>
      <c r="E12" t="s">
        <v>136</v>
      </c>
    </row>
    <row r="13" spans="1:5" x14ac:dyDescent="0.3">
      <c r="C13" t="s">
        <v>31</v>
      </c>
      <c r="D13" t="s">
        <v>126</v>
      </c>
      <c r="E13" t="s">
        <v>137</v>
      </c>
    </row>
    <row r="14" spans="1:5" x14ac:dyDescent="0.3">
      <c r="C14" t="s">
        <v>31</v>
      </c>
      <c r="D14" t="s">
        <v>127</v>
      </c>
      <c r="E14" t="s">
        <v>138</v>
      </c>
    </row>
    <row r="15" spans="1:5" x14ac:dyDescent="0.3">
      <c r="C15" t="s">
        <v>72</v>
      </c>
      <c r="D15" t="s">
        <v>128</v>
      </c>
      <c r="E15" t="s">
        <v>142</v>
      </c>
    </row>
    <row r="16" spans="1:5" x14ac:dyDescent="0.3">
      <c r="C16" t="s">
        <v>49</v>
      </c>
      <c r="D16" t="s">
        <v>129</v>
      </c>
      <c r="E16" t="s">
        <v>143</v>
      </c>
    </row>
    <row r="17" spans="3:5" x14ac:dyDescent="0.3">
      <c r="C17" t="s">
        <v>51</v>
      </c>
      <c r="D17" t="s">
        <v>131</v>
      </c>
      <c r="E17" t="s">
        <v>139</v>
      </c>
    </row>
    <row r="18" spans="3:5" x14ac:dyDescent="0.3">
      <c r="C18" t="s">
        <v>58</v>
      </c>
      <c r="D18" t="s">
        <v>132</v>
      </c>
      <c r="E18" t="s">
        <v>141</v>
      </c>
    </row>
  </sheetData>
  <sortState xmlns:xlrd2="http://schemas.microsoft.com/office/spreadsheetml/2017/richdata2" ref="C10:C18">
    <sortCondition ref="C10:C18"/>
  </sortState>
  <hyperlinks>
    <hyperlink ref="B1" r:id="rId1" display="https://www.tcdb.org/search/result.php?tc=1.C.97" xr:uid="{E3880009-211F-4511-9E9D-C94E3C7489D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A981-785C-47B4-99EA-C3651339EB3C}">
  <dimension ref="A1:E14"/>
  <sheetViews>
    <sheetView workbookViewId="0">
      <selection activeCell="C2" sqref="C2:E14"/>
    </sheetView>
  </sheetViews>
  <sheetFormatPr defaultRowHeight="14.4" x14ac:dyDescent="0.3"/>
  <cols>
    <col min="3" max="3" width="14.44140625" bestFit="1" customWidth="1"/>
    <col min="5" max="5" width="63.33203125" bestFit="1" customWidth="1"/>
  </cols>
  <sheetData>
    <row r="1" spans="1:5" x14ac:dyDescent="0.3">
      <c r="A1" t="s">
        <v>12</v>
      </c>
      <c r="B1" t="s">
        <v>144</v>
      </c>
      <c r="C1" t="s">
        <v>14</v>
      </c>
    </row>
    <row r="2" spans="1:5" x14ac:dyDescent="0.3">
      <c r="A2">
        <v>98</v>
      </c>
      <c r="C2" t="s">
        <v>31</v>
      </c>
      <c r="D2" t="s">
        <v>34</v>
      </c>
      <c r="E2" t="str">
        <f>_xlfn.XLOOKUP(D2,'Vse Anotacije'!B:B,'Vse Anotacije'!C:C)</f>
        <v>Membrane attack complex component/perforin/complement C9</v>
      </c>
    </row>
    <row r="3" spans="1:5" x14ac:dyDescent="0.3">
      <c r="C3" t="s">
        <v>31</v>
      </c>
      <c r="D3" t="s">
        <v>124</v>
      </c>
      <c r="E3" t="str">
        <f>_xlfn.XLOOKUP(D3,'Vse Anotacije'!B:B,'Vse Anotacije'!C:C)</f>
        <v>Hemolysin, aegerolysin type</v>
      </c>
    </row>
    <row r="4" spans="1:5" x14ac:dyDescent="0.3">
      <c r="C4" t="s">
        <v>31</v>
      </c>
      <c r="D4" t="s">
        <v>41</v>
      </c>
      <c r="E4" t="str">
        <f>_xlfn.XLOOKUP(D4,'Vse Anotacije'!B:B,'Vse Anotacije'!C:C)</f>
        <v>Concanavalin A-like lectin/glucanase domain superfamily</v>
      </c>
    </row>
    <row r="5" spans="1:5" x14ac:dyDescent="0.3">
      <c r="C5" t="s">
        <v>31</v>
      </c>
      <c r="D5" t="s">
        <v>45</v>
      </c>
      <c r="E5" t="str">
        <f>_xlfn.XLOOKUP(D5,'Vse Anotacije'!B:B,'Vse Anotacije'!C:C)</f>
        <v>Membrane attack complex component/perforin (MACPF) domain</v>
      </c>
    </row>
    <row r="6" spans="1:5" x14ac:dyDescent="0.3">
      <c r="C6" t="s">
        <v>51</v>
      </c>
      <c r="D6" t="s">
        <v>0</v>
      </c>
      <c r="E6" t="str">
        <f>_xlfn.XLOOKUP(D6,'Vse Anotacije'!B:B,'Vse Anotacije'!C:C)</f>
        <v>MAC/Perforin domain</v>
      </c>
    </row>
    <row r="7" spans="1:5" x14ac:dyDescent="0.3">
      <c r="C7" t="s">
        <v>51</v>
      </c>
      <c r="D7" t="s">
        <v>130</v>
      </c>
      <c r="E7" t="str">
        <f>_xlfn.XLOOKUP(D7,'Vse Anotacije'!B:B,'Vse Anotacije'!C:C)</f>
        <v>Aegerolysin</v>
      </c>
    </row>
    <row r="8" spans="1:5" x14ac:dyDescent="0.3">
      <c r="C8" t="s">
        <v>58</v>
      </c>
      <c r="D8" t="s">
        <v>12</v>
      </c>
      <c r="E8" t="str">
        <f>_xlfn.XLOOKUP(D8,'Vse Anotacije'!B:B,'Vse Anotacije'!C:C)</f>
        <v>2 component system: The Pleurotolysin Pore-forming (Pleurotolysin) Family</v>
      </c>
    </row>
    <row r="12" spans="1:5" x14ac:dyDescent="0.3">
      <c r="C12" t="s">
        <v>31</v>
      </c>
      <c r="D12" t="s">
        <v>145</v>
      </c>
      <c r="E12" t="s">
        <v>147</v>
      </c>
    </row>
    <row r="13" spans="1:5" x14ac:dyDescent="0.3">
      <c r="C13" t="s">
        <v>31</v>
      </c>
      <c r="D13" t="s">
        <v>146</v>
      </c>
      <c r="E13" t="s">
        <v>148</v>
      </c>
    </row>
    <row r="14" spans="1:5" x14ac:dyDescent="0.3">
      <c r="C14" t="s">
        <v>49</v>
      </c>
      <c r="D14" t="s">
        <v>119</v>
      </c>
      <c r="E14" t="s">
        <v>149</v>
      </c>
    </row>
  </sheetData>
  <sortState xmlns:xlrd2="http://schemas.microsoft.com/office/spreadsheetml/2017/richdata2" ref="C2:C11">
    <sortCondition ref="C2:C1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3ABF-25DD-4286-9E56-C94E1B46742E}">
  <dimension ref="A1:E7"/>
  <sheetViews>
    <sheetView topLeftCell="B1" workbookViewId="0">
      <selection activeCell="C2" sqref="C2:E7"/>
    </sheetView>
  </sheetViews>
  <sheetFormatPr defaultRowHeight="14.4" x14ac:dyDescent="0.3"/>
  <cols>
    <col min="2" max="2" width="25.6640625" bestFit="1" customWidth="1"/>
    <col min="3" max="3" width="14.44140625" bestFit="1" customWidth="1"/>
    <col min="4" max="4" width="15.21875" bestFit="1" customWidth="1"/>
    <col min="5" max="5" width="55" bestFit="1" customWidth="1"/>
  </cols>
  <sheetData>
    <row r="1" spans="1:5" x14ac:dyDescent="0.3">
      <c r="A1" t="s">
        <v>8</v>
      </c>
      <c r="B1" t="s">
        <v>9</v>
      </c>
      <c r="C1" t="s">
        <v>14</v>
      </c>
      <c r="D1" t="s">
        <v>118</v>
      </c>
    </row>
    <row r="2" spans="1:5" x14ac:dyDescent="0.3">
      <c r="A2">
        <v>17</v>
      </c>
      <c r="C2" t="s">
        <v>58</v>
      </c>
      <c r="D2" t="s">
        <v>8</v>
      </c>
      <c r="E2" t="str">
        <f>_xlfn.XLOOKUP(D2,'Vse Anotacije'!B:B,'Vse Anotacije'!C:C)</f>
        <v>Putative hemolysin of 224 aas</v>
      </c>
    </row>
    <row r="3" spans="1:5" x14ac:dyDescent="0.3">
      <c r="C3" t="s">
        <v>31</v>
      </c>
      <c r="D3" t="s">
        <v>45</v>
      </c>
      <c r="E3" t="str">
        <f>_xlfn.XLOOKUP(D3,'Vse Anotacije'!B:B,'Vse Anotacije'!C:C)</f>
        <v>Membrane attack complex component/perforin (MACPF) domain</v>
      </c>
    </row>
    <row r="4" spans="1:5" x14ac:dyDescent="0.3">
      <c r="C4" t="s">
        <v>51</v>
      </c>
      <c r="D4" t="s">
        <v>0</v>
      </c>
      <c r="E4" t="str">
        <f>_xlfn.XLOOKUP(D4,'Vse Anotacije'!B:B,'Vse Anotacije'!C:C)</f>
        <v>MAC/Perforin domain</v>
      </c>
    </row>
    <row r="6" spans="1:5" x14ac:dyDescent="0.3">
      <c r="C6" t="s">
        <v>49</v>
      </c>
      <c r="D6" t="s">
        <v>150</v>
      </c>
      <c r="E6" t="s">
        <v>152</v>
      </c>
    </row>
    <row r="7" spans="1:5" x14ac:dyDescent="0.3">
      <c r="C7" t="s">
        <v>31</v>
      </c>
      <c r="D7" t="s">
        <v>151</v>
      </c>
      <c r="E7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0100-B486-4224-8DB8-5A5F17F10FB2}">
  <dimension ref="A1:E4"/>
  <sheetViews>
    <sheetView workbookViewId="0">
      <selection activeCell="E7" sqref="E7"/>
    </sheetView>
  </sheetViews>
  <sheetFormatPr defaultRowHeight="14.4" x14ac:dyDescent="0.3"/>
  <cols>
    <col min="3" max="3" width="38.5546875" bestFit="1" customWidth="1"/>
    <col min="4" max="4" width="15.21875" bestFit="1" customWidth="1"/>
    <col min="5" max="5" width="63.33203125" bestFit="1" customWidth="1"/>
  </cols>
  <sheetData>
    <row r="1" spans="1:5" x14ac:dyDescent="0.3">
      <c r="A1" t="s">
        <v>13</v>
      </c>
      <c r="B1" t="s">
        <v>114</v>
      </c>
      <c r="C1" t="s">
        <v>14</v>
      </c>
      <c r="D1" t="s">
        <v>118</v>
      </c>
    </row>
    <row r="2" spans="1:5" x14ac:dyDescent="0.3">
      <c r="A2">
        <v>1</v>
      </c>
      <c r="C2" t="s">
        <v>58</v>
      </c>
      <c r="D2" t="s">
        <v>13</v>
      </c>
      <c r="E2" t="str">
        <f>_xlfn.XLOOKUP(D2,'Vse Anotacije'!B:B,'Vse Anotacije'!C:C)</f>
        <v>2 component system: The Pleurotolysin Pore-forming (Pleurotolysin) Family</v>
      </c>
    </row>
    <row r="3" spans="1:5" x14ac:dyDescent="0.3">
      <c r="C3" t="s">
        <v>31</v>
      </c>
      <c r="D3" t="s">
        <v>34</v>
      </c>
      <c r="E3" t="str">
        <f>_xlfn.XLOOKUP(D3,'Vse Anotacije'!B:B,'Vse Anotacije'!C:C)</f>
        <v>Membrane attack complex component/perforin/complement C9</v>
      </c>
    </row>
    <row r="4" spans="1:5" x14ac:dyDescent="0.3">
      <c r="C4" t="s">
        <v>51</v>
      </c>
      <c r="D4" t="s">
        <v>0</v>
      </c>
      <c r="E4" t="str">
        <f>_xlfn.XLOOKUP(D4,'Vse Anotacije'!B:B,'Vse Anotacije'!C:C)</f>
        <v>MAC/Perforin domain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F06E-F127-4F53-8D4F-46877AC2D231}">
  <dimension ref="A1:D41"/>
  <sheetViews>
    <sheetView workbookViewId="0">
      <selection activeCell="B1" sqref="B1:D41"/>
    </sheetView>
  </sheetViews>
  <sheetFormatPr defaultRowHeight="14.4" x14ac:dyDescent="0.3"/>
  <cols>
    <col min="2" max="2" width="120.33203125" bestFit="1" customWidth="1"/>
    <col min="4" max="4" width="89.5546875" bestFit="1" customWidth="1"/>
  </cols>
  <sheetData>
    <row r="1" spans="1:4" x14ac:dyDescent="0.3">
      <c r="A1" t="s">
        <v>156</v>
      </c>
      <c r="B1" t="s">
        <v>14</v>
      </c>
    </row>
    <row r="2" spans="1:4" x14ac:dyDescent="0.3">
      <c r="A2">
        <v>614</v>
      </c>
      <c r="B2" t="s">
        <v>31</v>
      </c>
      <c r="C2" t="s">
        <v>32</v>
      </c>
      <c r="D2" t="str">
        <f>_xlfn.XLOOKUP(C2,'Vse Anotacije'!B:B,'Vse Anotacije'!C:C)</f>
        <v>Cystatin domain</v>
      </c>
    </row>
    <row r="3" spans="1:4" x14ac:dyDescent="0.3">
      <c r="B3" t="s">
        <v>31</v>
      </c>
      <c r="C3" t="s">
        <v>33</v>
      </c>
      <c r="D3" t="str">
        <f>_xlfn.XLOOKUP(C3,'Vse Anotacije'!B:B,'Vse Anotacije'!C:C)</f>
        <v>Armadillo</v>
      </c>
    </row>
    <row r="4" spans="1:4" x14ac:dyDescent="0.3">
      <c r="B4" t="s">
        <v>31</v>
      </c>
      <c r="C4" t="s">
        <v>35</v>
      </c>
      <c r="D4" t="str">
        <f>_xlfn.XLOOKUP(C4,'Vse Anotacije'!B:B,'Vse Anotacije'!C:C)</f>
        <v>MIF4G-like, type 3</v>
      </c>
    </row>
    <row r="5" spans="1:4" x14ac:dyDescent="0.3">
      <c r="B5" t="s">
        <v>31</v>
      </c>
      <c r="C5" t="s">
        <v>36</v>
      </c>
      <c r="D5" t="str">
        <f>_xlfn.XLOOKUP(C5,'Vse Anotacije'!B:B,'Vse Anotacije'!C:C)</f>
        <v>DDE superfamily endonuclease domain</v>
      </c>
    </row>
    <row r="6" spans="1:4" x14ac:dyDescent="0.3">
      <c r="B6" t="s">
        <v>31</v>
      </c>
      <c r="C6" t="s">
        <v>37</v>
      </c>
      <c r="D6" t="str">
        <f>_xlfn.XLOOKUP(C6,'Vse Anotacije'!B:B,'Vse Anotacije'!C:C)</f>
        <v>GTP binding domain</v>
      </c>
    </row>
    <row r="7" spans="1:4" x14ac:dyDescent="0.3">
      <c r="B7" t="s">
        <v>31</v>
      </c>
      <c r="C7" t="s">
        <v>38</v>
      </c>
      <c r="D7" t="str">
        <f>_xlfn.XLOOKUP(C7,'Vse Anotacije'!B:B,'Vse Anotacije'!C:C)</f>
        <v>HTH CenpB-type DNA-binding domain</v>
      </c>
    </row>
    <row r="8" spans="1:4" x14ac:dyDescent="0.3">
      <c r="B8" t="s">
        <v>31</v>
      </c>
      <c r="C8" t="s">
        <v>39</v>
      </c>
      <c r="D8" t="str">
        <f>_xlfn.XLOOKUP(C8,'Vse Anotacije'!B:B,'Vse Anotacije'!C:C)</f>
        <v>AIG1-type guanine nucleotide-binding (G) domain</v>
      </c>
    </row>
    <row r="9" spans="1:4" x14ac:dyDescent="0.3">
      <c r="B9" t="s">
        <v>31</v>
      </c>
      <c r="C9" t="s">
        <v>40</v>
      </c>
      <c r="D9" t="str">
        <f>_xlfn.XLOOKUP(C9,'Vse Anotacije'!B:B,'Vse Anotacije'!C:C)</f>
        <v>Transketolase C-terminal/Pyruvate-ferredoxin oxidoreductase domain II</v>
      </c>
    </row>
    <row r="10" spans="1:4" x14ac:dyDescent="0.3">
      <c r="B10" t="s">
        <v>31</v>
      </c>
      <c r="C10" t="s">
        <v>41</v>
      </c>
      <c r="D10" t="str">
        <f>_xlfn.XLOOKUP(C10,'Vse Anotacije'!B:B,'Vse Anotacije'!C:C)</f>
        <v>Concanavalin A-like lectin/glucanase domain superfamily</v>
      </c>
    </row>
    <row r="11" spans="1:4" x14ac:dyDescent="0.3">
      <c r="B11" t="s">
        <v>31</v>
      </c>
      <c r="C11" t="s">
        <v>42</v>
      </c>
      <c r="D11" t="str">
        <f>_xlfn.XLOOKUP(C11,'Vse Anotacije'!B:B,'Vse Anotacije'!C:C)</f>
        <v>Armadillo-type fold</v>
      </c>
    </row>
    <row r="12" spans="1:4" x14ac:dyDescent="0.3">
      <c r="B12" t="s">
        <v>31</v>
      </c>
      <c r="C12" t="s">
        <v>43</v>
      </c>
      <c r="D12" t="str">
        <f>_xlfn.XLOOKUP(C12,'Vse Anotacije'!B:B,'Vse Anotacije'!C:C)</f>
        <v>Protein-tyrosine phosphatase, active site</v>
      </c>
    </row>
    <row r="13" spans="1:4" x14ac:dyDescent="0.3">
      <c r="B13" t="s">
        <v>31</v>
      </c>
      <c r="C13" t="s">
        <v>46</v>
      </c>
      <c r="D13" t="str">
        <f>_xlfn.XLOOKUP(C13,'Vse Anotacije'!B:B,'Vse Anotacije'!C:C)</f>
        <v>P-loop containing nucleoside triphosphate hydrolase</v>
      </c>
    </row>
    <row r="14" spans="1:4" x14ac:dyDescent="0.3">
      <c r="B14" t="s">
        <v>31</v>
      </c>
      <c r="C14" t="s">
        <v>47</v>
      </c>
      <c r="D14" t="str">
        <f>_xlfn.XLOOKUP(C14,'Vse Anotacije'!B:B,'Vse Anotacije'!C:C)</f>
        <v>Protein-tyrosine phosphatase-like</v>
      </c>
    </row>
    <row r="15" spans="1:4" x14ac:dyDescent="0.3">
      <c r="B15" t="s">
        <v>31</v>
      </c>
      <c r="C15" t="s">
        <v>48</v>
      </c>
      <c r="D15" t="str">
        <f>_xlfn.XLOOKUP(C15,'Vse Anotacije'!B:B,'Vse Anotacije'!C:C)</f>
        <v>Septin-type guanine nucleotide-binding (G) domain</v>
      </c>
    </row>
    <row r="16" spans="1:4" x14ac:dyDescent="0.3">
      <c r="B16" t="s">
        <v>49</v>
      </c>
      <c r="C16" t="s">
        <v>50</v>
      </c>
      <c r="D16" t="str">
        <f>_xlfn.XLOOKUP(C16,'Vse Anotacije'!B:B,'Vse Anotacije'!C:C)</f>
        <v/>
      </c>
    </row>
    <row r="17" spans="2:4" x14ac:dyDescent="0.3">
      <c r="B17" t="s">
        <v>49</v>
      </c>
      <c r="C17" t="s">
        <v>119</v>
      </c>
      <c r="D17" t="str">
        <f>_xlfn.XLOOKUP(C17,'Vse Anotacije'!B:B,'Vse Anotacije'!C:C)</f>
        <v>Rho GTPase effector BNI1 and related formins</v>
      </c>
    </row>
    <row r="18" spans="2:4" x14ac:dyDescent="0.3">
      <c r="B18" t="s">
        <v>77</v>
      </c>
      <c r="C18" t="s">
        <v>160</v>
      </c>
      <c r="D18" t="e">
        <f>_xlfn.XLOOKUP(C18,'Vse Anotacije'!B:B,'Vse Anotacije'!C:C)</f>
        <v>#N/A</v>
      </c>
    </row>
    <row r="19" spans="2:4" x14ac:dyDescent="0.3">
      <c r="B19" t="s">
        <v>77</v>
      </c>
      <c r="C19" t="s">
        <v>161</v>
      </c>
      <c r="D19" t="e">
        <f>_xlfn.XLOOKUP(C19,'Vse Anotacije'!B:B,'Vse Anotacije'!C:C)</f>
        <v>#N/A</v>
      </c>
    </row>
    <row r="20" spans="2:4" x14ac:dyDescent="0.3">
      <c r="B20" t="s">
        <v>51</v>
      </c>
      <c r="C20" t="s">
        <v>52</v>
      </c>
      <c r="D20" t="str">
        <f>_xlfn.XLOOKUP(C20,'Vse Anotacije'!B:B,'Vse Anotacije'!C:C)</f>
        <v>Septin</v>
      </c>
    </row>
    <row r="21" spans="2:4" x14ac:dyDescent="0.3">
      <c r="B21" t="s">
        <v>51</v>
      </c>
      <c r="C21" t="s">
        <v>53</v>
      </c>
      <c r="D21" t="str">
        <f>_xlfn.XLOOKUP(C21,'Vse Anotacije'!B:B,'Vse Anotacije'!C:C)</f>
        <v>50S ribosome-binding GTPase</v>
      </c>
    </row>
    <row r="22" spans="2:4" x14ac:dyDescent="0.3">
      <c r="B22" t="s">
        <v>51</v>
      </c>
      <c r="C22" t="s">
        <v>54</v>
      </c>
      <c r="D22" t="str">
        <f>_xlfn.XLOOKUP(C22,'Vse Anotacije'!B:B,'Vse Anotacije'!C:C)</f>
        <v>MIF4G domain</v>
      </c>
    </row>
    <row r="23" spans="2:4" x14ac:dyDescent="0.3">
      <c r="B23" t="s">
        <v>51</v>
      </c>
      <c r="C23" t="s">
        <v>55</v>
      </c>
      <c r="D23" t="str">
        <f>_xlfn.XLOOKUP(C23,'Vse Anotacije'!B:B,'Vse Anotacije'!C:C)</f>
        <v>DDE superfamily endonuclease</v>
      </c>
    </row>
    <row r="24" spans="2:4" x14ac:dyDescent="0.3">
      <c r="B24" t="s">
        <v>51</v>
      </c>
      <c r="C24" t="s">
        <v>56</v>
      </c>
      <c r="D24" t="str">
        <f>_xlfn.XLOOKUP(C24,'Vse Anotacije'!B:B,'Vse Anotacije'!C:C)</f>
        <v>AIG1 family</v>
      </c>
    </row>
    <row r="25" spans="2:4" x14ac:dyDescent="0.3">
      <c r="B25" t="s">
        <v>51</v>
      </c>
      <c r="C25" t="s">
        <v>57</v>
      </c>
      <c r="D25" t="str">
        <f>_xlfn.XLOOKUP(C25,'Vse Anotacije'!B:B,'Vse Anotacije'!C:C)</f>
        <v>Concanavalin A-like lectin/glucanases superfamily</v>
      </c>
    </row>
    <row r="27" spans="2:4" x14ac:dyDescent="0.3">
      <c r="B27" t="s">
        <v>58</v>
      </c>
      <c r="C27" t="s">
        <v>163</v>
      </c>
      <c r="D27" t="s">
        <v>167</v>
      </c>
    </row>
    <row r="28" spans="2:4" x14ac:dyDescent="0.3">
      <c r="B28" t="s">
        <v>58</v>
      </c>
      <c r="C28" t="s">
        <v>164</v>
      </c>
      <c r="D28" t="s">
        <v>168</v>
      </c>
    </row>
    <row r="29" spans="2:4" x14ac:dyDescent="0.3">
      <c r="B29" t="s">
        <v>58</v>
      </c>
      <c r="C29" t="s">
        <v>6</v>
      </c>
      <c r="D29" t="str">
        <f>_xlfn.XLOOKUP(C29,'Vse Anotacije'!B:B,'Vse Anotacije'!C:C)</f>
        <v>MACPF homologue</v>
      </c>
    </row>
    <row r="30" spans="2:4" x14ac:dyDescent="0.3">
      <c r="B30" t="s">
        <v>58</v>
      </c>
      <c r="C30" t="s">
        <v>15</v>
      </c>
      <c r="D30" t="str">
        <f>_xlfn.XLOOKUP(C30,'Vse Anotacije'!B:B,'Vse Anotacije'!C:C)</f>
        <v>The Pleurotolysin Pore-forming (Pleurotolysin) Family</v>
      </c>
    </row>
    <row r="31" spans="2:4" x14ac:dyDescent="0.3">
      <c r="B31" t="s">
        <v>58</v>
      </c>
      <c r="C31" t="s">
        <v>12</v>
      </c>
      <c r="D31" t="str">
        <f>_xlfn.XLOOKUP(C31,'Vse Anotacije'!B:B,'Vse Anotacije'!C:C)</f>
        <v>2 component system: The Pleurotolysin Pore-forming (Pleurotolysin) Family</v>
      </c>
    </row>
    <row r="32" spans="2:4" x14ac:dyDescent="0.3">
      <c r="B32" t="s">
        <v>58</v>
      </c>
      <c r="C32" t="s">
        <v>8</v>
      </c>
      <c r="D32" t="str">
        <f>_xlfn.XLOOKUP(C32,'Vse Anotacije'!B:B,'Vse Anotacije'!C:C)</f>
        <v>Putative hemolysin of 224 aas</v>
      </c>
    </row>
    <row r="33" spans="2:4" x14ac:dyDescent="0.3">
      <c r="B33" t="s">
        <v>58</v>
      </c>
      <c r="C33" t="s">
        <v>13</v>
      </c>
      <c r="D33" t="str">
        <f>_xlfn.XLOOKUP(C33,'Vse Anotacije'!B:B,'Vse Anotacije'!C:C)</f>
        <v>2 component system: The Pleurotolysin Pore-forming (Pleurotolysin) Family</v>
      </c>
    </row>
    <row r="34" spans="2:4" x14ac:dyDescent="0.3">
      <c r="B34" t="s">
        <v>58</v>
      </c>
      <c r="C34" t="s">
        <v>10</v>
      </c>
      <c r="D34" t="str">
        <f>_xlfn.XLOOKUP(C34,'Vse Anotacije'!B:B,'Vse Anotacije'!C:C)</f>
        <v>Chain A, MACPF perforin-like protein, Plu-MACPF (structure solved to 2.0 Å resolution; Rosado et al., 2007).</v>
      </c>
    </row>
    <row r="35" spans="2:4" x14ac:dyDescent="0.3">
      <c r="B35" t="s">
        <v>31</v>
      </c>
      <c r="C35" t="s">
        <v>44</v>
      </c>
      <c r="D35" t="str">
        <f>_xlfn.XLOOKUP(C35,'Vse Anotacije'!B:B,'Vse Anotacije'!C:C)</f>
        <v>Membrane attack complex component/perforin domain, conserved site</v>
      </c>
    </row>
    <row r="36" spans="2:4" x14ac:dyDescent="0.3">
      <c r="B36" t="s">
        <v>31</v>
      </c>
      <c r="C36" t="s">
        <v>45</v>
      </c>
      <c r="D36" t="str">
        <f>_xlfn.XLOOKUP(C36,'Vse Anotacije'!B:B,'Vse Anotacije'!C:C)</f>
        <v>Membrane attack complex component/perforin (MACPF) domain</v>
      </c>
    </row>
    <row r="37" spans="2:4" x14ac:dyDescent="0.3">
      <c r="B37" t="s">
        <v>31</v>
      </c>
      <c r="C37" t="s">
        <v>34</v>
      </c>
      <c r="D37" t="str">
        <f>_xlfn.XLOOKUP(C37,'Vse Anotacije'!B:B,'Vse Anotacije'!C:C)</f>
        <v>Membrane attack complex component/perforin/complement C9</v>
      </c>
    </row>
    <row r="38" spans="2:4" x14ac:dyDescent="0.3">
      <c r="B38" t="s">
        <v>51</v>
      </c>
      <c r="C38" t="s">
        <v>0</v>
      </c>
      <c r="D38" t="str">
        <f>_xlfn.XLOOKUP(C38,'Vse Anotacije'!B:B,'Vse Anotacije'!C:C)</f>
        <v>MAC/Perforin domain</v>
      </c>
    </row>
    <row r="39" spans="2:4" x14ac:dyDescent="0.3">
      <c r="B39" t="s">
        <v>51</v>
      </c>
      <c r="C39" t="s">
        <v>162</v>
      </c>
      <c r="D39" t="s">
        <v>169</v>
      </c>
    </row>
    <row r="40" spans="2:4" x14ac:dyDescent="0.3">
      <c r="B40" t="s">
        <v>31</v>
      </c>
      <c r="C40" t="s">
        <v>158</v>
      </c>
      <c r="D40" t="s">
        <v>165</v>
      </c>
    </row>
    <row r="41" spans="2:4" x14ac:dyDescent="0.3">
      <c r="B41" t="s">
        <v>31</v>
      </c>
      <c r="C41" t="s">
        <v>159</v>
      </c>
      <c r="D41" t="s">
        <v>166</v>
      </c>
    </row>
  </sheetData>
  <sortState xmlns:xlrd2="http://schemas.microsoft.com/office/spreadsheetml/2017/richdata2" ref="B2:B25">
    <sortCondition ref="B2:B25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23F7-9589-4104-939A-E9F108BD7233}">
  <dimension ref="A1:E7"/>
  <sheetViews>
    <sheetView workbookViewId="0"/>
  </sheetViews>
  <sheetFormatPr defaultRowHeight="14.4" x14ac:dyDescent="0.3"/>
  <cols>
    <col min="5" max="5" width="23.33203125" bestFit="1" customWidth="1"/>
  </cols>
  <sheetData>
    <row r="1" spans="1:5" x14ac:dyDescent="0.3">
      <c r="A1" t="s">
        <v>163</v>
      </c>
      <c r="B1" t="s">
        <v>167</v>
      </c>
      <c r="C1" t="s">
        <v>14</v>
      </c>
    </row>
    <row r="2" spans="1:5" x14ac:dyDescent="0.3">
      <c r="A2">
        <v>7</v>
      </c>
      <c r="C2" t="s">
        <v>58</v>
      </c>
      <c r="D2" t="s">
        <v>163</v>
      </c>
      <c r="E2" t="str">
        <f>_xlfn.XLOOKUP(D2,'Vse Anotacije'!B:B,'Vse Anotacije'!C:C)</f>
        <v>MACPF-Hemopexin protein</v>
      </c>
    </row>
    <row r="3" spans="1:5" x14ac:dyDescent="0.3">
      <c r="C3" t="s">
        <v>31</v>
      </c>
      <c r="D3" t="s">
        <v>158</v>
      </c>
      <c r="E3" t="str">
        <f>_xlfn.XLOOKUP(D3,'Vse Anotacije'!B:B,'Vse Anotacije'!C:C)</f>
        <v>Hemopexin-like domain</v>
      </c>
    </row>
    <row r="4" spans="1:5" x14ac:dyDescent="0.3">
      <c r="C4" t="s">
        <v>77</v>
      </c>
      <c r="D4" t="s">
        <v>160</v>
      </c>
      <c r="E4" t="e">
        <f>_xlfn.XLOOKUP(D4,'Vse Anotacije'!B:B,'Vse Anotacije'!C:C)</f>
        <v>#N/A</v>
      </c>
    </row>
    <row r="5" spans="1:5" x14ac:dyDescent="0.3">
      <c r="C5" t="s">
        <v>31</v>
      </c>
      <c r="D5" t="s">
        <v>159</v>
      </c>
      <c r="E5" t="str">
        <f>_xlfn.XLOOKUP(D5,'Vse Anotacije'!B:B,'Vse Anotacije'!C:C)</f>
        <v>Hemopexin-like repeats</v>
      </c>
    </row>
    <row r="6" spans="1:5" x14ac:dyDescent="0.3">
      <c r="C6" t="s">
        <v>77</v>
      </c>
      <c r="D6" t="s">
        <v>161</v>
      </c>
      <c r="E6" t="e">
        <f>_xlfn.XLOOKUP(D6,'Vse Anotacije'!B:B,'Vse Anotacije'!C:C)</f>
        <v>#N/A</v>
      </c>
    </row>
    <row r="7" spans="1:5" x14ac:dyDescent="0.3">
      <c r="C7" t="s">
        <v>51</v>
      </c>
      <c r="D7" t="s">
        <v>162</v>
      </c>
      <c r="E7" t="str">
        <f>_xlfn.XLOOKUP(D7,'Vse Anotacije'!B:B,'Vse Anotacije'!C:C)</f>
        <v>Hemopexin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D0B7-4D4C-4364-AFE2-8196DD883851}">
  <dimension ref="A1:E5"/>
  <sheetViews>
    <sheetView workbookViewId="0">
      <selection activeCell="D31" sqref="D31"/>
    </sheetView>
  </sheetViews>
  <sheetFormatPr defaultRowHeight="14.4" x14ac:dyDescent="0.3"/>
  <cols>
    <col min="2" max="2" width="60" bestFit="1" customWidth="1"/>
    <col min="3" max="3" width="60.21875" bestFit="1" customWidth="1"/>
    <col min="4" max="4" width="9.33203125" bestFit="1" customWidth="1"/>
    <col min="5" max="5" width="60" bestFit="1" customWidth="1"/>
  </cols>
  <sheetData>
    <row r="1" spans="1:5" x14ac:dyDescent="0.3">
      <c r="A1" t="s">
        <v>164</v>
      </c>
      <c r="B1" t="s">
        <v>168</v>
      </c>
      <c r="C1" t="s">
        <v>14</v>
      </c>
    </row>
    <row r="2" spans="1:5" x14ac:dyDescent="0.3">
      <c r="A2">
        <v>49</v>
      </c>
      <c r="C2" t="s">
        <v>58</v>
      </c>
      <c r="D2" t="s">
        <v>164</v>
      </c>
      <c r="E2" t="str">
        <f>_xlfn.XLOOKUP(D2,'Vse Anotacije'!B:B,'Vse Anotacije'!C:C)</f>
        <v>The MACPF protein homologue with hemopexin-like C-terminal repeats</v>
      </c>
    </row>
    <row r="3" spans="1:5" x14ac:dyDescent="0.3">
      <c r="C3" t="s">
        <v>31</v>
      </c>
      <c r="D3" t="s">
        <v>158</v>
      </c>
      <c r="E3" t="str">
        <f>_xlfn.XLOOKUP(D3,'Vse Anotacije'!B:B,'Vse Anotacije'!C:C)</f>
        <v>Hemopexin-like domain</v>
      </c>
    </row>
    <row r="4" spans="1:5" x14ac:dyDescent="0.3">
      <c r="C4" t="s">
        <v>31</v>
      </c>
      <c r="D4" t="s">
        <v>159</v>
      </c>
      <c r="E4" t="str">
        <f>_xlfn.XLOOKUP(D4,'Vse Anotacije'!B:B,'Vse Anotacije'!C:C)</f>
        <v>Hemopexin-like repeats</v>
      </c>
    </row>
    <row r="5" spans="1:5" x14ac:dyDescent="0.3">
      <c r="C5" t="s">
        <v>51</v>
      </c>
      <c r="D5" t="s">
        <v>162</v>
      </c>
      <c r="E5" t="str">
        <f>_xlfn.XLOOKUP(D5,'Vse Anotacije'!B:B,'Vse Anotacije'!C:C)</f>
        <v>Hemopexin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751D-C941-4D84-8BD7-94C864EBC2AC}">
  <dimension ref="A1:D46"/>
  <sheetViews>
    <sheetView workbookViewId="0">
      <selection activeCell="D4" sqref="D4"/>
    </sheetView>
  </sheetViews>
  <sheetFormatPr defaultRowHeight="14.4" x14ac:dyDescent="0.3"/>
  <cols>
    <col min="2" max="2" width="10.88671875" bestFit="1" customWidth="1"/>
    <col min="4" max="4" width="89.5546875" bestFit="1" customWidth="1"/>
  </cols>
  <sheetData>
    <row r="1" spans="1:4" x14ac:dyDescent="0.3">
      <c r="A1" t="s">
        <v>170</v>
      </c>
      <c r="B1" t="s">
        <v>14</v>
      </c>
    </row>
    <row r="2" spans="1:4" x14ac:dyDescent="0.3">
      <c r="A2">
        <v>617</v>
      </c>
      <c r="B2" t="s">
        <v>31</v>
      </c>
      <c r="C2" t="s">
        <v>32</v>
      </c>
      <c r="D2" t="str">
        <f>_xlfn.XLOOKUP(C2,'Vse Anotacije'!B:B,'Vse Anotacije'!C:C)</f>
        <v>Cystatin domain</v>
      </c>
    </row>
    <row r="3" spans="1:4" ht="18" x14ac:dyDescent="0.3">
      <c r="B3" t="s">
        <v>31</v>
      </c>
      <c r="C3" t="s">
        <v>171</v>
      </c>
      <c r="D3" s="4" t="s">
        <v>174</v>
      </c>
    </row>
    <row r="4" spans="1:4" x14ac:dyDescent="0.3">
      <c r="B4" t="s">
        <v>31</v>
      </c>
      <c r="C4" t="s">
        <v>33</v>
      </c>
      <c r="D4" t="str">
        <f>_xlfn.XLOOKUP(C4,'Vse Anotacije'!B:B,'Vse Anotacije'!C:C)</f>
        <v>Armadillo</v>
      </c>
    </row>
    <row r="5" spans="1:4" x14ac:dyDescent="0.3">
      <c r="B5" t="s">
        <v>31</v>
      </c>
      <c r="C5" t="s">
        <v>35</v>
      </c>
      <c r="D5" t="str">
        <f>_xlfn.XLOOKUP(C5,'Vse Anotacije'!B:B,'Vse Anotacije'!C:C)</f>
        <v>MIF4G-like, type 3</v>
      </c>
    </row>
    <row r="6" spans="1:4" x14ac:dyDescent="0.3">
      <c r="B6" t="s">
        <v>31</v>
      </c>
      <c r="C6" t="s">
        <v>36</v>
      </c>
      <c r="D6" t="str">
        <f>_xlfn.XLOOKUP(C6,'Vse Anotacije'!B:B,'Vse Anotacije'!C:C)</f>
        <v>DDE superfamily endonuclease domain</v>
      </c>
    </row>
    <row r="7" spans="1:4" x14ac:dyDescent="0.3">
      <c r="B7" t="s">
        <v>31</v>
      </c>
      <c r="C7" t="s">
        <v>37</v>
      </c>
      <c r="D7" t="str">
        <f>_xlfn.XLOOKUP(C7,'Vse Anotacije'!B:B,'Vse Anotacije'!C:C)</f>
        <v>GTP binding domain</v>
      </c>
    </row>
    <row r="8" spans="1:4" x14ac:dyDescent="0.3">
      <c r="B8" t="s">
        <v>31</v>
      </c>
      <c r="C8" t="s">
        <v>38</v>
      </c>
      <c r="D8" t="str">
        <f>_xlfn.XLOOKUP(C8,'Vse Anotacije'!B:B,'Vse Anotacije'!C:C)</f>
        <v>HTH CenpB-type DNA-binding domain</v>
      </c>
    </row>
    <row r="9" spans="1:4" x14ac:dyDescent="0.3">
      <c r="B9" t="s">
        <v>31</v>
      </c>
      <c r="C9" t="s">
        <v>39</v>
      </c>
      <c r="D9" t="str">
        <f>_xlfn.XLOOKUP(C9,'Vse Anotacije'!B:B,'Vse Anotacije'!C:C)</f>
        <v>AIG1-type guanine nucleotide-binding (G) domain</v>
      </c>
    </row>
    <row r="10" spans="1:4" x14ac:dyDescent="0.3">
      <c r="B10" t="s">
        <v>31</v>
      </c>
      <c r="C10" t="s">
        <v>40</v>
      </c>
      <c r="D10" t="str">
        <f>_xlfn.XLOOKUP(C10,'Vse Anotacije'!B:B,'Vse Anotacije'!C:C)</f>
        <v>Transketolase C-terminal/Pyruvate-ferredoxin oxidoreductase domain II</v>
      </c>
    </row>
    <row r="11" spans="1:4" x14ac:dyDescent="0.3">
      <c r="B11" t="s">
        <v>31</v>
      </c>
      <c r="C11" t="s">
        <v>41</v>
      </c>
      <c r="D11" t="str">
        <f>_xlfn.XLOOKUP(C11,'Vse Anotacije'!B:B,'Vse Anotacije'!C:C)</f>
        <v>Concanavalin A-like lectin/glucanase domain superfamily</v>
      </c>
    </row>
    <row r="12" spans="1:4" x14ac:dyDescent="0.3">
      <c r="B12" t="s">
        <v>31</v>
      </c>
      <c r="C12" t="s">
        <v>42</v>
      </c>
      <c r="D12" t="str">
        <f>_xlfn.XLOOKUP(C12,'Vse Anotacije'!B:B,'Vse Anotacije'!C:C)</f>
        <v>Armadillo-type fold</v>
      </c>
    </row>
    <row r="13" spans="1:4" x14ac:dyDescent="0.3">
      <c r="B13" t="s">
        <v>31</v>
      </c>
      <c r="C13" t="s">
        <v>43</v>
      </c>
      <c r="D13" t="str">
        <f>_xlfn.XLOOKUP(C13,'Vse Anotacije'!B:B,'Vse Anotacije'!C:C)</f>
        <v>Protein-tyrosine phosphatase, active site</v>
      </c>
    </row>
    <row r="14" spans="1:4" x14ac:dyDescent="0.3">
      <c r="B14" t="s">
        <v>31</v>
      </c>
      <c r="C14" t="s">
        <v>159</v>
      </c>
      <c r="D14" t="str">
        <f>_xlfn.XLOOKUP(C14,'Vse Anotacije'!B:B,'Vse Anotacije'!C:C)</f>
        <v>Hemopexin-like repeats</v>
      </c>
    </row>
    <row r="15" spans="1:4" x14ac:dyDescent="0.3">
      <c r="B15" t="s">
        <v>31</v>
      </c>
      <c r="C15" t="s">
        <v>46</v>
      </c>
      <c r="D15" t="str">
        <f>_xlfn.XLOOKUP(C15,'Vse Anotacije'!B:B,'Vse Anotacije'!C:C)</f>
        <v>P-loop containing nucleoside triphosphate hydrolase</v>
      </c>
    </row>
    <row r="16" spans="1:4" x14ac:dyDescent="0.3">
      <c r="B16" t="s">
        <v>31</v>
      </c>
      <c r="C16" t="s">
        <v>47</v>
      </c>
      <c r="D16" t="str">
        <f>_xlfn.XLOOKUP(C16,'Vse Anotacije'!B:B,'Vse Anotacije'!C:C)</f>
        <v>Protein-tyrosine phosphatase-like</v>
      </c>
    </row>
    <row r="17" spans="2:4" x14ac:dyDescent="0.3">
      <c r="B17" t="s">
        <v>31</v>
      </c>
      <c r="C17" t="s">
        <v>48</v>
      </c>
      <c r="D17" t="str">
        <f>_xlfn.XLOOKUP(C17,'Vse Anotacije'!B:B,'Vse Anotacije'!C:C)</f>
        <v>Septin-type guanine nucleotide-binding (G) domain</v>
      </c>
    </row>
    <row r="18" spans="2:4" x14ac:dyDescent="0.3">
      <c r="B18" t="s">
        <v>49</v>
      </c>
      <c r="C18" t="s">
        <v>50</v>
      </c>
      <c r="D18" t="s">
        <v>177</v>
      </c>
    </row>
    <row r="19" spans="2:4" x14ac:dyDescent="0.3">
      <c r="B19" t="s">
        <v>49</v>
      </c>
      <c r="C19" t="s">
        <v>172</v>
      </c>
      <c r="D19" t="s">
        <v>176</v>
      </c>
    </row>
    <row r="20" spans="2:4" x14ac:dyDescent="0.3">
      <c r="B20" t="s">
        <v>49</v>
      </c>
      <c r="C20" t="s">
        <v>119</v>
      </c>
      <c r="D20" t="str">
        <f>_xlfn.XLOOKUP(C20,'Vse Anotacije'!B:B,'Vse Anotacije'!C:C)</f>
        <v>Rho GTPase effector BNI1 and related formins</v>
      </c>
    </row>
    <row r="21" spans="2:4" x14ac:dyDescent="0.3">
      <c r="B21" t="s">
        <v>77</v>
      </c>
      <c r="C21" t="s">
        <v>160</v>
      </c>
      <c r="D21" t="e">
        <f>_xlfn.XLOOKUP(C21,'Vse Anotacije'!B:B,'Vse Anotacije'!C:C)</f>
        <v>#N/A</v>
      </c>
    </row>
    <row r="22" spans="2:4" x14ac:dyDescent="0.3">
      <c r="B22" t="s">
        <v>77</v>
      </c>
      <c r="C22" t="s">
        <v>161</v>
      </c>
      <c r="D22" t="e">
        <f>_xlfn.XLOOKUP(C22,'Vse Anotacije'!B:B,'Vse Anotacije'!C:C)</f>
        <v>#N/A</v>
      </c>
    </row>
    <row r="23" spans="2:4" x14ac:dyDescent="0.3">
      <c r="B23" t="s">
        <v>51</v>
      </c>
      <c r="C23" t="s">
        <v>162</v>
      </c>
      <c r="D23" t="str">
        <f>_xlfn.XLOOKUP(C23,'Vse Anotacije'!B:B,'Vse Anotacije'!C:C)</f>
        <v>Hemopexin</v>
      </c>
    </row>
    <row r="24" spans="2:4" x14ac:dyDescent="0.3">
      <c r="B24" t="s">
        <v>51</v>
      </c>
      <c r="C24" t="s">
        <v>52</v>
      </c>
      <c r="D24" t="str">
        <f>_xlfn.XLOOKUP(C24,'Vse Anotacije'!B:B,'Vse Anotacije'!C:C)</f>
        <v>Septin</v>
      </c>
    </row>
    <row r="25" spans="2:4" x14ac:dyDescent="0.3">
      <c r="B25" t="s">
        <v>51</v>
      </c>
      <c r="C25" t="s">
        <v>53</v>
      </c>
      <c r="D25" t="str">
        <f>_xlfn.XLOOKUP(C25,'Vse Anotacije'!B:B,'Vse Anotacije'!C:C)</f>
        <v>50S ribosome-binding GTPase</v>
      </c>
    </row>
    <row r="26" spans="2:4" x14ac:dyDescent="0.3">
      <c r="B26" t="s">
        <v>51</v>
      </c>
      <c r="C26" t="s">
        <v>54</v>
      </c>
      <c r="D26" t="str">
        <f>_xlfn.XLOOKUP(C26,'Vse Anotacije'!B:B,'Vse Anotacije'!C:C)</f>
        <v>MIF4G domain</v>
      </c>
    </row>
    <row r="27" spans="2:4" x14ac:dyDescent="0.3">
      <c r="B27" t="s">
        <v>51</v>
      </c>
      <c r="C27" t="s">
        <v>55</v>
      </c>
      <c r="D27" t="str">
        <f>_xlfn.XLOOKUP(C27,'Vse Anotacije'!B:B,'Vse Anotacije'!C:C)</f>
        <v>DDE superfamily endonuclease</v>
      </c>
    </row>
    <row r="28" spans="2:4" x14ac:dyDescent="0.3">
      <c r="B28" t="s">
        <v>51</v>
      </c>
      <c r="C28" t="s">
        <v>56</v>
      </c>
      <c r="D28" t="str">
        <f>_xlfn.XLOOKUP(C28,'Vse Anotacije'!B:B,'Vse Anotacije'!C:C)</f>
        <v>AIG1 family</v>
      </c>
    </row>
    <row r="29" spans="2:4" x14ac:dyDescent="0.3">
      <c r="B29" t="s">
        <v>51</v>
      </c>
      <c r="C29" t="s">
        <v>57</v>
      </c>
      <c r="D29" t="str">
        <f>_xlfn.XLOOKUP(C29,'Vse Anotacije'!B:B,'Vse Anotacije'!C:C)</f>
        <v>Concanavalin A-like lectin/glucanases superfamily</v>
      </c>
    </row>
    <row r="30" spans="2:4" ht="18" x14ac:dyDescent="0.3">
      <c r="B30" t="s">
        <v>58</v>
      </c>
      <c r="C30" t="s">
        <v>173</v>
      </c>
      <c r="D30" s="4" t="s">
        <v>175</v>
      </c>
    </row>
    <row r="34" spans="2:4" x14ac:dyDescent="0.3">
      <c r="B34" t="s">
        <v>31</v>
      </c>
      <c r="C34" t="s">
        <v>158</v>
      </c>
      <c r="D34" t="str">
        <f>_xlfn.XLOOKUP(C34,'Vse Anotacije'!B:B,'Vse Anotacije'!C:C)</f>
        <v>Hemopexin-like domain</v>
      </c>
    </row>
    <row r="35" spans="2:4" x14ac:dyDescent="0.3">
      <c r="B35" t="s">
        <v>31</v>
      </c>
      <c r="C35" t="s">
        <v>34</v>
      </c>
      <c r="D35" t="str">
        <f>_xlfn.XLOOKUP(C35,'Vse Anotacije'!B:B,'Vse Anotacije'!C:C)</f>
        <v>Membrane attack complex component/perforin/complement C9</v>
      </c>
    </row>
    <row r="36" spans="2:4" x14ac:dyDescent="0.3">
      <c r="B36" t="s">
        <v>31</v>
      </c>
      <c r="C36" t="s">
        <v>44</v>
      </c>
      <c r="D36" t="str">
        <f>_xlfn.XLOOKUP(C36,'Vse Anotacije'!B:B,'Vse Anotacije'!C:C)</f>
        <v>Membrane attack complex component/perforin domain, conserved site</v>
      </c>
    </row>
    <row r="37" spans="2:4" x14ac:dyDescent="0.3">
      <c r="B37" t="s">
        <v>31</v>
      </c>
      <c r="C37" t="s">
        <v>45</v>
      </c>
      <c r="D37" t="str">
        <f>_xlfn.XLOOKUP(C37,'Vse Anotacije'!B:B,'Vse Anotacije'!C:C)</f>
        <v>Membrane attack complex component/perforin (MACPF) domain</v>
      </c>
    </row>
    <row r="38" spans="2:4" x14ac:dyDescent="0.3">
      <c r="B38" t="s">
        <v>58</v>
      </c>
      <c r="C38" t="s">
        <v>10</v>
      </c>
      <c r="D38" t="str">
        <f>_xlfn.XLOOKUP(C38,'Vse Anotacije'!B:B,'Vse Anotacije'!C:C)</f>
        <v>Chain A, MACPF perforin-like protein, Plu-MACPF (structure solved to 2.0 Å resolution; Rosado et al., 2007).</v>
      </c>
    </row>
    <row r="39" spans="2:4" x14ac:dyDescent="0.3">
      <c r="B39" t="s">
        <v>58</v>
      </c>
      <c r="C39" t="s">
        <v>163</v>
      </c>
      <c r="D39" t="str">
        <f>_xlfn.XLOOKUP(C39,'Vse Anotacije'!B:B,'Vse Anotacije'!C:C)</f>
        <v>MACPF-Hemopexin protein</v>
      </c>
    </row>
    <row r="40" spans="2:4" x14ac:dyDescent="0.3">
      <c r="B40" t="s">
        <v>58</v>
      </c>
      <c r="C40" t="s">
        <v>164</v>
      </c>
      <c r="D40" t="str">
        <f>_xlfn.XLOOKUP(C40,'Vse Anotacije'!B:B,'Vse Anotacije'!C:C)</f>
        <v>The MACPF protein homologue with hemopexin-like C-terminal repeats</v>
      </c>
    </row>
    <row r="41" spans="2:4" x14ac:dyDescent="0.3">
      <c r="B41" t="s">
        <v>58</v>
      </c>
      <c r="C41" t="s">
        <v>6</v>
      </c>
      <c r="D41" t="str">
        <f>_xlfn.XLOOKUP(C41,'Vse Anotacije'!B:B,'Vse Anotacije'!C:C)</f>
        <v>MACPF homologue</v>
      </c>
    </row>
    <row r="42" spans="2:4" x14ac:dyDescent="0.3">
      <c r="B42" t="s">
        <v>58</v>
      </c>
      <c r="C42" t="s">
        <v>15</v>
      </c>
      <c r="D42" t="str">
        <f>_xlfn.XLOOKUP(C42,'Vse Anotacije'!B:B,'Vse Anotacije'!C:C)</f>
        <v>The Pleurotolysin Pore-forming (Pleurotolysin) Family</v>
      </c>
    </row>
    <row r="43" spans="2:4" x14ac:dyDescent="0.3">
      <c r="B43" t="s">
        <v>58</v>
      </c>
      <c r="C43" t="s">
        <v>12</v>
      </c>
      <c r="D43" t="str">
        <f>_xlfn.XLOOKUP(C43,'Vse Anotacije'!B:B,'Vse Anotacije'!C:C)</f>
        <v>2 component system: The Pleurotolysin Pore-forming (Pleurotolysin) Family</v>
      </c>
    </row>
    <row r="44" spans="2:4" x14ac:dyDescent="0.3">
      <c r="B44" t="s">
        <v>58</v>
      </c>
      <c r="C44" t="s">
        <v>8</v>
      </c>
      <c r="D44" t="str">
        <f>_xlfn.XLOOKUP(C44,'Vse Anotacije'!B:B,'Vse Anotacije'!C:C)</f>
        <v>Putative hemolysin of 224 aas</v>
      </c>
    </row>
    <row r="45" spans="2:4" x14ac:dyDescent="0.3">
      <c r="B45" t="s">
        <v>58</v>
      </c>
      <c r="C45" t="s">
        <v>13</v>
      </c>
      <c r="D45" t="str">
        <f>_xlfn.XLOOKUP(C45,'Vse Anotacije'!B:B,'Vse Anotacije'!C:C)</f>
        <v>2 component system: The Pleurotolysin Pore-forming (Pleurotolysin) Family</v>
      </c>
    </row>
    <row r="46" spans="2:4" x14ac:dyDescent="0.3">
      <c r="B46" t="s">
        <v>51</v>
      </c>
      <c r="C46" t="s">
        <v>0</v>
      </c>
      <c r="D46" t="str">
        <f>_xlfn.XLOOKUP(C46,'Vse Anotacije'!B:B,'Vse Anotacije'!C:C)</f>
        <v>MAC/Perforin domain</v>
      </c>
    </row>
  </sheetData>
  <sortState xmlns:xlrd2="http://schemas.microsoft.com/office/spreadsheetml/2017/richdata2" ref="B1:B220">
    <sortCondition ref="B1:B220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D4C2-D753-4209-8415-2EC514C7D055}">
  <dimension ref="A1:E14"/>
  <sheetViews>
    <sheetView workbookViewId="0">
      <selection activeCell="C10" sqref="C10"/>
    </sheetView>
  </sheetViews>
  <sheetFormatPr defaultRowHeight="14.4" x14ac:dyDescent="0.3"/>
  <cols>
    <col min="1" max="1" width="16.5546875" bestFit="1" customWidth="1"/>
    <col min="2" max="2" width="16.5546875" customWidth="1"/>
    <col min="3" max="3" width="97.109375" bestFit="1" customWidth="1"/>
  </cols>
  <sheetData>
    <row r="1" spans="1:5" x14ac:dyDescent="0.3">
      <c r="A1" t="s">
        <v>7</v>
      </c>
      <c r="C1" t="s">
        <v>14</v>
      </c>
    </row>
    <row r="2" spans="1:5" x14ac:dyDescent="0.3">
      <c r="A2">
        <v>278</v>
      </c>
      <c r="C2" t="s">
        <v>31</v>
      </c>
      <c r="D2" t="s">
        <v>32</v>
      </c>
      <c r="E2" t="str">
        <f>_xlfn.XLOOKUP('MACPF Homologue'!D2,'Vse Anotacije'!B:B,'Vse Anotacije'!C:C)</f>
        <v>Cystatin domain</v>
      </c>
    </row>
    <row r="3" spans="1:5" x14ac:dyDescent="0.3">
      <c r="C3" t="s">
        <v>31</v>
      </c>
      <c r="D3" t="s">
        <v>158</v>
      </c>
      <c r="E3" t="str">
        <f>_xlfn.XLOOKUP('MACPF Homologue'!D3,'Vse Anotacije'!B:B,'Vse Anotacije'!C:C)</f>
        <v>Hemopexin-like domain</v>
      </c>
    </row>
    <row r="4" spans="1:5" x14ac:dyDescent="0.3">
      <c r="C4" t="s">
        <v>31</v>
      </c>
      <c r="D4" t="s">
        <v>34</v>
      </c>
      <c r="E4" t="str">
        <f>_xlfn.XLOOKUP('MACPF Homologue'!D4,'Vse Anotacije'!B:B,'Vse Anotacije'!C:C)</f>
        <v>Membrane attack complex component/perforin/complement C9</v>
      </c>
    </row>
    <row r="5" spans="1:5" x14ac:dyDescent="0.3">
      <c r="C5" t="s">
        <v>31</v>
      </c>
      <c r="D5" t="s">
        <v>40</v>
      </c>
      <c r="E5" t="str">
        <f>_xlfn.XLOOKUP('MACPF Homologue'!D5,'Vse Anotacije'!B:B,'Vse Anotacije'!C:C)</f>
        <v>Transketolase C-terminal/Pyruvate-ferredoxin oxidoreductase domain II</v>
      </c>
    </row>
    <row r="6" spans="1:5" x14ac:dyDescent="0.3">
      <c r="C6" t="s">
        <v>31</v>
      </c>
      <c r="D6" t="s">
        <v>43</v>
      </c>
      <c r="E6" t="str">
        <f>_xlfn.XLOOKUP('MACPF Homologue'!D6,'Vse Anotacije'!B:B,'Vse Anotacije'!C:C)</f>
        <v>Protein-tyrosine phosphatase, active site</v>
      </c>
    </row>
    <row r="7" spans="1:5" x14ac:dyDescent="0.3">
      <c r="C7" t="s">
        <v>31</v>
      </c>
      <c r="D7" t="s">
        <v>159</v>
      </c>
      <c r="E7" t="str">
        <f>_xlfn.XLOOKUP('MACPF Homologue'!D7,'Vse Anotacije'!B:B,'Vse Anotacije'!C:C)</f>
        <v>Hemopexin-like repeats</v>
      </c>
    </row>
    <row r="8" spans="1:5" x14ac:dyDescent="0.3">
      <c r="C8" t="s">
        <v>31</v>
      </c>
      <c r="D8" t="s">
        <v>45</v>
      </c>
      <c r="E8" t="str">
        <f>_xlfn.XLOOKUP('MACPF Homologue'!D8,'Vse Anotacije'!B:B,'Vse Anotacije'!C:C)</f>
        <v>Membrane attack complex component/perforin (MACPF) domain</v>
      </c>
    </row>
    <row r="9" spans="1:5" x14ac:dyDescent="0.3">
      <c r="C9" t="s">
        <v>31</v>
      </c>
      <c r="D9" t="s">
        <v>47</v>
      </c>
      <c r="E9" t="str">
        <f>_xlfn.XLOOKUP('MACPF Homologue'!D9,'Vse Anotacije'!B:B,'Vse Anotacije'!C:C)</f>
        <v>Protein-tyrosine phosphatase-like</v>
      </c>
    </row>
    <row r="10" spans="1:5" x14ac:dyDescent="0.3">
      <c r="C10" t="s">
        <v>49</v>
      </c>
      <c r="D10" t="s">
        <v>119</v>
      </c>
      <c r="E10" t="str">
        <f>_xlfn.XLOOKUP('MACPF Homologue'!D10,'Vse Anotacije'!B:B,'Vse Anotacije'!C:C)</f>
        <v>Rho GTPase effector BNI1 and related formins</v>
      </c>
    </row>
    <row r="11" spans="1:5" x14ac:dyDescent="0.3">
      <c r="C11" t="s">
        <v>51</v>
      </c>
      <c r="D11" t="s">
        <v>162</v>
      </c>
      <c r="E11" t="str">
        <f>_xlfn.XLOOKUP('MACPF Homologue'!D11,'Vse Anotacije'!B:B,'Vse Anotacije'!C:C)</f>
        <v>Hemopexin</v>
      </c>
    </row>
    <row r="12" spans="1:5" x14ac:dyDescent="0.3">
      <c r="C12" t="s">
        <v>51</v>
      </c>
      <c r="D12" t="s">
        <v>0</v>
      </c>
      <c r="E12" t="str">
        <f>_xlfn.XLOOKUP('MACPF Homologue'!D12,'Vse Anotacije'!B:B,'Vse Anotacije'!C:C)</f>
        <v>MAC/Perforin domain</v>
      </c>
    </row>
    <row r="13" spans="1:5" x14ac:dyDescent="0.3">
      <c r="C13" t="s">
        <v>58</v>
      </c>
      <c r="D13" t="s">
        <v>164</v>
      </c>
      <c r="E13" t="str">
        <f>_xlfn.XLOOKUP('MACPF Homologue'!D13,'Vse Anotacije'!B:B,'Vse Anotacije'!C:C)</f>
        <v>The MACPF protein homologue with hemopexin-like C-terminal repeats</v>
      </c>
    </row>
    <row r="14" spans="1:5" x14ac:dyDescent="0.3">
      <c r="C14" t="s">
        <v>58</v>
      </c>
      <c r="D14" t="s">
        <v>6</v>
      </c>
      <c r="E14" t="str">
        <f>_xlfn.XLOOKUP('MACPF Homologue'!D14,'Vse Anotacije'!B:B,'Vse Anotacije'!C:C)</f>
        <v>MACPF homologue</v>
      </c>
    </row>
  </sheetData>
  <sortState xmlns:xlrd2="http://schemas.microsoft.com/office/spreadsheetml/2017/richdata2" ref="C1:C50">
    <sortCondition ref="C1:C50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AC89-54C9-42D1-BA1C-2C1E329A87AF}">
  <dimension ref="A1:E48"/>
  <sheetViews>
    <sheetView topLeftCell="A17" workbookViewId="0">
      <selection activeCell="E2" sqref="E2"/>
    </sheetView>
  </sheetViews>
  <sheetFormatPr defaultRowHeight="14.4" x14ac:dyDescent="0.3"/>
  <cols>
    <col min="3" max="3" width="14.88671875" bestFit="1" customWidth="1"/>
  </cols>
  <sheetData>
    <row r="1" spans="1:5" x14ac:dyDescent="0.3">
      <c r="A1" t="s">
        <v>178</v>
      </c>
      <c r="C1" t="s">
        <v>14</v>
      </c>
    </row>
    <row r="2" spans="1:5" x14ac:dyDescent="0.3">
      <c r="A2">
        <v>615</v>
      </c>
      <c r="C2" t="s">
        <v>31</v>
      </c>
      <c r="D2" t="s">
        <v>32</v>
      </c>
      <c r="E2" t="str">
        <f>_xlfn.XLOOKUP(D2,'Vse Anotacije'!B:B,'Vse Anotacije'!C:C)</f>
        <v>Cystatin domain</v>
      </c>
    </row>
    <row r="3" spans="1:5" x14ac:dyDescent="0.3">
      <c r="C3" t="s">
        <v>31</v>
      </c>
      <c r="D3" t="s">
        <v>33</v>
      </c>
      <c r="E3" t="str">
        <f>_xlfn.XLOOKUP(D3,'Vse Anotacije'!B:B,'Vse Anotacije'!C:C)</f>
        <v>Armadillo</v>
      </c>
    </row>
    <row r="4" spans="1:5" ht="18" x14ac:dyDescent="0.3">
      <c r="C4" t="s">
        <v>31</v>
      </c>
      <c r="D4" t="s">
        <v>179</v>
      </c>
      <c r="E4" s="4" t="s">
        <v>195</v>
      </c>
    </row>
    <row r="5" spans="1:5" ht="18" x14ac:dyDescent="0.3">
      <c r="C5" t="s">
        <v>31</v>
      </c>
      <c r="D5" t="s">
        <v>180</v>
      </c>
      <c r="E5" s="4" t="s">
        <v>196</v>
      </c>
    </row>
    <row r="6" spans="1:5" x14ac:dyDescent="0.3">
      <c r="C6" t="s">
        <v>31</v>
      </c>
      <c r="D6" t="s">
        <v>34</v>
      </c>
      <c r="E6" t="str">
        <f>_xlfn.XLOOKUP(D6,'Vse Anotacije'!B:B,'Vse Anotacije'!C:C)</f>
        <v>Membrane attack complex component/perforin/complement C9</v>
      </c>
    </row>
    <row r="7" spans="1:5" x14ac:dyDescent="0.3">
      <c r="C7" t="s">
        <v>31</v>
      </c>
      <c r="D7" t="s">
        <v>35</v>
      </c>
      <c r="E7" t="str">
        <f>_xlfn.XLOOKUP(D7,'Vse Anotacije'!B:B,'Vse Anotacije'!C:C)</f>
        <v>MIF4G-like, type 3</v>
      </c>
    </row>
    <row r="8" spans="1:5" x14ac:dyDescent="0.3">
      <c r="C8" t="s">
        <v>31</v>
      </c>
      <c r="D8" t="s">
        <v>36</v>
      </c>
      <c r="E8" t="str">
        <f>_xlfn.XLOOKUP(D8,'Vse Anotacije'!B:B,'Vse Anotacije'!C:C)</f>
        <v>DDE superfamily endonuclease domain</v>
      </c>
    </row>
    <row r="9" spans="1:5" x14ac:dyDescent="0.3">
      <c r="C9" t="s">
        <v>31</v>
      </c>
      <c r="D9" t="s">
        <v>37</v>
      </c>
      <c r="E9" t="str">
        <f>_xlfn.XLOOKUP(D9,'Vse Anotacije'!B:B,'Vse Anotacije'!C:C)</f>
        <v>GTP binding domain</v>
      </c>
    </row>
    <row r="10" spans="1:5" x14ac:dyDescent="0.3">
      <c r="C10" t="s">
        <v>31</v>
      </c>
      <c r="D10" t="s">
        <v>38</v>
      </c>
      <c r="E10" t="str">
        <f>_xlfn.XLOOKUP(D10,'Vse Anotacije'!B:B,'Vse Anotacije'!C:C)</f>
        <v>HTH CenpB-type DNA-binding domain</v>
      </c>
    </row>
    <row r="11" spans="1:5" x14ac:dyDescent="0.3">
      <c r="C11" t="s">
        <v>31</v>
      </c>
      <c r="D11" t="s">
        <v>39</v>
      </c>
      <c r="E11" t="str">
        <f>_xlfn.XLOOKUP(D11,'Vse Anotacije'!B:B,'Vse Anotacije'!C:C)</f>
        <v>AIG1-type guanine nucleotide-binding (G) domain</v>
      </c>
    </row>
    <row r="12" spans="1:5" ht="18" x14ac:dyDescent="0.3">
      <c r="C12" t="s">
        <v>31</v>
      </c>
      <c r="D12" t="s">
        <v>181</v>
      </c>
      <c r="E12" s="4" t="s">
        <v>197</v>
      </c>
    </row>
    <row r="13" spans="1:5" x14ac:dyDescent="0.3">
      <c r="C13" t="s">
        <v>31</v>
      </c>
      <c r="D13" t="s">
        <v>40</v>
      </c>
      <c r="E13" t="str">
        <f>_xlfn.XLOOKUP(D13,'Vse Anotacije'!B:B,'Vse Anotacije'!C:C)</f>
        <v>Transketolase C-terminal/Pyruvate-ferredoxin oxidoreductase domain II</v>
      </c>
    </row>
    <row r="14" spans="1:5" ht="18" x14ac:dyDescent="0.3">
      <c r="C14" t="s">
        <v>31</v>
      </c>
      <c r="D14" t="s">
        <v>182</v>
      </c>
      <c r="E14" s="4" t="s">
        <v>198</v>
      </c>
    </row>
    <row r="15" spans="1:5" x14ac:dyDescent="0.3">
      <c r="C15" t="s">
        <v>31</v>
      </c>
      <c r="D15" t="s">
        <v>41</v>
      </c>
      <c r="E15" t="str">
        <f>_xlfn.XLOOKUP(D15,'Vse Anotacije'!B:B,'Vse Anotacije'!C:C)</f>
        <v>Concanavalin A-like lectin/glucanase domain superfamily</v>
      </c>
    </row>
    <row r="16" spans="1:5" x14ac:dyDescent="0.3">
      <c r="C16" t="s">
        <v>31</v>
      </c>
      <c r="D16" t="s">
        <v>42</v>
      </c>
      <c r="E16" t="str">
        <f>_xlfn.XLOOKUP(D16,'Vse Anotacije'!B:B,'Vse Anotacije'!C:C)</f>
        <v>Armadillo-type fold</v>
      </c>
    </row>
    <row r="17" spans="3:5" x14ac:dyDescent="0.3">
      <c r="C17" t="s">
        <v>31</v>
      </c>
      <c r="D17" t="s">
        <v>43</v>
      </c>
      <c r="E17" t="str">
        <f>_xlfn.XLOOKUP(D17,'Vse Anotacije'!B:B,'Vse Anotacije'!C:C)</f>
        <v>Protein-tyrosine phosphatase, active site</v>
      </c>
    </row>
    <row r="18" spans="3:5" ht="18" x14ac:dyDescent="0.3">
      <c r="C18" t="s">
        <v>31</v>
      </c>
      <c r="D18" t="s">
        <v>183</v>
      </c>
      <c r="E18" s="4" t="s">
        <v>199</v>
      </c>
    </row>
    <row r="19" spans="3:5" ht="18" x14ac:dyDescent="0.3">
      <c r="C19" t="s">
        <v>31</v>
      </c>
      <c r="D19" t="s">
        <v>184</v>
      </c>
      <c r="E19" s="4" t="s">
        <v>200</v>
      </c>
    </row>
    <row r="20" spans="3:5" x14ac:dyDescent="0.3">
      <c r="C20" t="s">
        <v>31</v>
      </c>
      <c r="D20" t="s">
        <v>44</v>
      </c>
      <c r="E20" t="str">
        <f>_xlfn.XLOOKUP(D20,'Vse Anotacije'!B:B,'Vse Anotacije'!C:C)</f>
        <v>Membrane attack complex component/perforin domain, conserved site</v>
      </c>
    </row>
    <row r="21" spans="3:5" x14ac:dyDescent="0.3">
      <c r="C21" t="s">
        <v>31</v>
      </c>
      <c r="D21" t="s">
        <v>45</v>
      </c>
      <c r="E21" t="str">
        <f>_xlfn.XLOOKUP(D21,'Vse Anotacije'!B:B,'Vse Anotacije'!C:C)</f>
        <v>Membrane attack complex component/perforin (MACPF) domain</v>
      </c>
    </row>
    <row r="22" spans="3:5" ht="18" x14ac:dyDescent="0.3">
      <c r="C22" t="s">
        <v>31</v>
      </c>
      <c r="D22" t="s">
        <v>185</v>
      </c>
      <c r="E22" s="4" t="s">
        <v>201</v>
      </c>
    </row>
    <row r="23" spans="3:5" x14ac:dyDescent="0.3">
      <c r="C23" t="s">
        <v>31</v>
      </c>
      <c r="D23" t="s">
        <v>46</v>
      </c>
      <c r="E23" t="str">
        <f>_xlfn.XLOOKUP(D23,'Vse Anotacije'!B:B,'Vse Anotacije'!C:C)</f>
        <v>P-loop containing nucleoside triphosphate hydrolase</v>
      </c>
    </row>
    <row r="24" spans="3:5" x14ac:dyDescent="0.3">
      <c r="C24" t="s">
        <v>31</v>
      </c>
      <c r="D24" t="s">
        <v>47</v>
      </c>
      <c r="E24" t="str">
        <f>_xlfn.XLOOKUP(D24,'Vse Anotacije'!B:B,'Vse Anotacije'!C:C)</f>
        <v>Protein-tyrosine phosphatase-like</v>
      </c>
    </row>
    <row r="25" spans="3:5" x14ac:dyDescent="0.3">
      <c r="C25" t="s">
        <v>31</v>
      </c>
      <c r="D25" t="s">
        <v>48</v>
      </c>
      <c r="E25" t="str">
        <f>_xlfn.XLOOKUP(D25,'Vse Anotacije'!B:B,'Vse Anotacije'!C:C)</f>
        <v>Septin-type guanine nucleotide-binding (G) domain</v>
      </c>
    </row>
    <row r="26" spans="3:5" x14ac:dyDescent="0.3">
      <c r="C26" t="s">
        <v>72</v>
      </c>
      <c r="D26" t="s">
        <v>186</v>
      </c>
      <c r="E26" t="e">
        <f>_xlfn.XLOOKUP(D26,'Vse Anotacije'!B:B,'Vse Anotacije'!C:C)</f>
        <v>#N/A</v>
      </c>
    </row>
    <row r="27" spans="3:5" x14ac:dyDescent="0.3">
      <c r="C27" t="s">
        <v>49</v>
      </c>
      <c r="D27" t="s">
        <v>50</v>
      </c>
      <c r="E27" t="str">
        <f>_xlfn.XLOOKUP(D27,'Vse Anotacije'!B:B,'Vse Anotacije'!C:C)</f>
        <v/>
      </c>
    </row>
    <row r="28" spans="3:5" x14ac:dyDescent="0.3">
      <c r="C28" t="s">
        <v>49</v>
      </c>
      <c r="D28" t="s">
        <v>187</v>
      </c>
      <c r="E28" t="e">
        <f>_xlfn.XLOOKUP(D28,'Vse Anotacije'!B:B,'Vse Anotacije'!C:C)</f>
        <v>#N/A</v>
      </c>
    </row>
    <row r="29" spans="3:5" x14ac:dyDescent="0.3">
      <c r="C29" t="s">
        <v>49</v>
      </c>
      <c r="D29" t="s">
        <v>188</v>
      </c>
      <c r="E29" t="e">
        <f>_xlfn.XLOOKUP(D29,'Vse Anotacije'!B:B,'Vse Anotacije'!C:C)</f>
        <v>#N/A</v>
      </c>
    </row>
    <row r="30" spans="3:5" ht="18" x14ac:dyDescent="0.3">
      <c r="C30" t="s">
        <v>51</v>
      </c>
      <c r="D30" t="s">
        <v>189</v>
      </c>
      <c r="E30" s="4" t="s">
        <v>202</v>
      </c>
    </row>
    <row r="31" spans="3:5" ht="18" x14ac:dyDescent="0.3">
      <c r="C31" t="s">
        <v>51</v>
      </c>
      <c r="D31" t="s">
        <v>190</v>
      </c>
      <c r="E31" s="4" t="s">
        <v>203</v>
      </c>
    </row>
    <row r="32" spans="3:5" x14ac:dyDescent="0.3">
      <c r="C32" t="s">
        <v>51</v>
      </c>
      <c r="D32" t="s">
        <v>52</v>
      </c>
      <c r="E32" t="str">
        <f>_xlfn.XLOOKUP(D32,'Vse Anotacije'!B:B,'Vse Anotacije'!C:C)</f>
        <v>Septin</v>
      </c>
    </row>
    <row r="33" spans="3:5" x14ac:dyDescent="0.3">
      <c r="C33" t="s">
        <v>51</v>
      </c>
      <c r="D33" t="s">
        <v>0</v>
      </c>
      <c r="E33" t="str">
        <f>_xlfn.XLOOKUP(D33,'Vse Anotacije'!B:B,'Vse Anotacije'!C:C)</f>
        <v>MAC/Perforin domain</v>
      </c>
    </row>
    <row r="34" spans="3:5" x14ac:dyDescent="0.3">
      <c r="C34" t="s">
        <v>51</v>
      </c>
      <c r="D34" t="s">
        <v>53</v>
      </c>
      <c r="E34" t="str">
        <f>_xlfn.XLOOKUP(D34,'Vse Anotacije'!B:B,'Vse Anotacije'!C:C)</f>
        <v>50S ribosome-binding GTPase</v>
      </c>
    </row>
    <row r="35" spans="3:5" x14ac:dyDescent="0.3">
      <c r="C35" t="s">
        <v>51</v>
      </c>
      <c r="D35" t="s">
        <v>54</v>
      </c>
      <c r="E35" t="str">
        <f>_xlfn.XLOOKUP(D35,'Vse Anotacije'!B:B,'Vse Anotacije'!C:C)</f>
        <v>MIF4G domain</v>
      </c>
    </row>
    <row r="36" spans="3:5" x14ac:dyDescent="0.3">
      <c r="C36" t="s">
        <v>51</v>
      </c>
      <c r="D36" t="s">
        <v>55</v>
      </c>
      <c r="E36" t="str">
        <f>_xlfn.XLOOKUP(D36,'Vse Anotacije'!B:B,'Vse Anotacije'!C:C)</f>
        <v>DDE superfamily endonuclease</v>
      </c>
    </row>
    <row r="37" spans="3:5" x14ac:dyDescent="0.3">
      <c r="C37" t="s">
        <v>51</v>
      </c>
      <c r="D37" t="s">
        <v>56</v>
      </c>
      <c r="E37" t="str">
        <f>_xlfn.XLOOKUP(D37,'Vse Anotacije'!B:B,'Vse Anotacije'!C:C)</f>
        <v>AIG1 family</v>
      </c>
    </row>
    <row r="38" spans="3:5" ht="18" x14ac:dyDescent="0.3">
      <c r="C38" t="s">
        <v>51</v>
      </c>
      <c r="D38" t="s">
        <v>191</v>
      </c>
      <c r="E38" s="4" t="s">
        <v>204</v>
      </c>
    </row>
    <row r="39" spans="3:5" ht="18" x14ac:dyDescent="0.3">
      <c r="C39" t="s">
        <v>51</v>
      </c>
      <c r="D39" t="s">
        <v>192</v>
      </c>
      <c r="E39" s="4" t="s">
        <v>205</v>
      </c>
    </row>
    <row r="40" spans="3:5" x14ac:dyDescent="0.3">
      <c r="C40" t="s">
        <v>51</v>
      </c>
      <c r="D40" t="s">
        <v>57</v>
      </c>
      <c r="E40" t="str">
        <f>_xlfn.XLOOKUP(D40,'Vse Anotacije'!B:B,'Vse Anotacije'!C:C)</f>
        <v>Concanavalin A-like lectin/glucanases superfamily</v>
      </c>
    </row>
    <row r="41" spans="3:5" x14ac:dyDescent="0.3">
      <c r="C41" t="s">
        <v>51</v>
      </c>
      <c r="D41" t="s">
        <v>193</v>
      </c>
      <c r="E41" t="s">
        <v>207</v>
      </c>
    </row>
    <row r="42" spans="3:5" ht="18" x14ac:dyDescent="0.3">
      <c r="C42" t="s">
        <v>51</v>
      </c>
      <c r="D42" t="s">
        <v>194</v>
      </c>
      <c r="E42" s="4" t="s">
        <v>206</v>
      </c>
    </row>
    <row r="43" spans="3:5" x14ac:dyDescent="0.3">
      <c r="C43" t="s">
        <v>58</v>
      </c>
      <c r="D43" t="s">
        <v>10</v>
      </c>
      <c r="E43" t="str">
        <f>_xlfn.XLOOKUP(D43,'Vse Anotacije'!B:B,'Vse Anotacije'!C:C)</f>
        <v>Chain A, MACPF perforin-like protein, Plu-MACPF (structure solved to 2.0 Å resolution; Rosado et al., 2007).</v>
      </c>
    </row>
    <row r="44" spans="3:5" x14ac:dyDescent="0.3">
      <c r="C44" t="s">
        <v>58</v>
      </c>
      <c r="D44" t="s">
        <v>6</v>
      </c>
      <c r="E44" t="str">
        <f>_xlfn.XLOOKUP(D44,'Vse Anotacije'!B:B,'Vse Anotacije'!C:C)</f>
        <v>MACPF homologue</v>
      </c>
    </row>
    <row r="45" spans="3:5" x14ac:dyDescent="0.3">
      <c r="C45" t="s">
        <v>58</v>
      </c>
      <c r="D45" t="s">
        <v>15</v>
      </c>
      <c r="E45" t="str">
        <f>_xlfn.XLOOKUP(D45,'Vse Anotacije'!B:B,'Vse Anotacije'!C:C)</f>
        <v>The Pleurotolysin Pore-forming (Pleurotolysin) Family</v>
      </c>
    </row>
    <row r="46" spans="3:5" x14ac:dyDescent="0.3">
      <c r="C46" t="s">
        <v>58</v>
      </c>
      <c r="D46" t="s">
        <v>12</v>
      </c>
      <c r="E46" t="str">
        <f>_xlfn.XLOOKUP(D46,'Vse Anotacije'!B:B,'Vse Anotacije'!C:C)</f>
        <v>2 component system: The Pleurotolysin Pore-forming (Pleurotolysin) Family</v>
      </c>
    </row>
    <row r="47" spans="3:5" x14ac:dyDescent="0.3">
      <c r="C47" t="s">
        <v>58</v>
      </c>
      <c r="D47" t="s">
        <v>8</v>
      </c>
      <c r="E47" t="str">
        <f>_xlfn.XLOOKUP(D47,'Vse Anotacije'!B:B,'Vse Anotacije'!C:C)</f>
        <v>Putative hemolysin of 224 aas</v>
      </c>
    </row>
    <row r="48" spans="3:5" x14ac:dyDescent="0.3">
      <c r="C48" t="s">
        <v>58</v>
      </c>
      <c r="D48" t="s">
        <v>13</v>
      </c>
      <c r="E48" t="str">
        <f>_xlfn.XLOOKUP(D48,'Vse Anotacije'!B:B,'Vse Anotacije'!C:C)</f>
        <v>2 component system: The Pleurotolysin Pore-forming (Pleurotolysin) Family</v>
      </c>
    </row>
  </sheetData>
  <sortState xmlns:xlrd2="http://schemas.microsoft.com/office/spreadsheetml/2017/richdata2" ref="C1:C341">
    <sortCondition ref="C1:C341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D087-E6E4-4D32-AC30-38864E90234F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208</v>
      </c>
    </row>
    <row r="2" spans="1:1" x14ac:dyDescent="0.3">
      <c r="A2">
        <v>265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F092-1E9C-4265-8A0D-3C264E6560E5}">
  <dimension ref="A1:A2"/>
  <sheetViews>
    <sheetView workbookViewId="0">
      <selection activeCell="N16" sqref="N16"/>
    </sheetView>
  </sheetViews>
  <sheetFormatPr defaultRowHeight="14.4" x14ac:dyDescent="0.3"/>
  <sheetData>
    <row r="1" spans="1:1" x14ac:dyDescent="0.3">
      <c r="A1" t="s">
        <v>211</v>
      </c>
    </row>
    <row r="2" spans="1:1" x14ac:dyDescent="0.3">
      <c r="A2">
        <v>324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F27C-FE08-429F-8833-B2573B6AE2CD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212</v>
      </c>
    </row>
    <row r="2" spans="1:1" x14ac:dyDescent="0.3">
      <c r="A2">
        <v>367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5E42-CBD4-41FF-82E7-92168C1FE81B}">
  <dimension ref="A1:A2"/>
  <sheetViews>
    <sheetView workbookViewId="0">
      <selection activeCell="D6" sqref="D6"/>
    </sheetView>
  </sheetViews>
  <sheetFormatPr defaultRowHeight="14.4" x14ac:dyDescent="0.3"/>
  <sheetData>
    <row r="1" spans="1:1" x14ac:dyDescent="0.3">
      <c r="A1" t="s">
        <v>215</v>
      </c>
    </row>
    <row r="2" spans="1:1" x14ac:dyDescent="0.3">
      <c r="A2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877B-C293-48B6-8637-1C157FC1F0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318D66-72A9-4F01-984E-9EE5D28324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23</vt:i4>
      </vt:variant>
    </vt:vector>
  </HeadingPairs>
  <TitlesOfParts>
    <vt:vector size="23" baseType="lpstr">
      <vt:lpstr>Vse Anotacije</vt:lpstr>
      <vt:lpstr>Upoštevane Anotacije</vt:lpstr>
      <vt:lpstr>pf01823</vt:lpstr>
      <vt:lpstr>ipr001862</vt:lpstr>
      <vt:lpstr>ipr020863</vt:lpstr>
      <vt:lpstr>ipr020864</vt:lpstr>
      <vt:lpstr>1.C.39.4.1</vt:lpstr>
      <vt:lpstr>1.C.39.9.1</vt:lpstr>
      <vt:lpstr>1.C.97.1.1</vt:lpstr>
      <vt:lpstr>1.C.97.1.2</vt:lpstr>
      <vt:lpstr>1.C.97.2.1</vt:lpstr>
      <vt:lpstr>1.C.97.5.1</vt:lpstr>
      <vt:lpstr>perforin</vt:lpstr>
      <vt:lpstr>1.C.39.8.1</vt:lpstr>
      <vt:lpstr>1.C.39.8.2</vt:lpstr>
      <vt:lpstr>MACPF</vt:lpstr>
      <vt:lpstr>MACPF Homologue</vt:lpstr>
      <vt:lpstr>MAC</vt:lpstr>
      <vt:lpstr>hemolysis</vt:lpstr>
      <vt:lpstr>pleurotolysin B</vt:lpstr>
      <vt:lpstr>pleurotolysin</vt:lpstr>
      <vt:lpstr>Erylysin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Črt Pantner</dc:creator>
  <cp:lastModifiedBy>Pantner, Črt</cp:lastModifiedBy>
  <dcterms:created xsi:type="dcterms:W3CDTF">2015-06-05T18:19:34Z</dcterms:created>
  <dcterms:modified xsi:type="dcterms:W3CDTF">2025-06-03T12:58:20Z</dcterms:modified>
</cp:coreProperties>
</file>